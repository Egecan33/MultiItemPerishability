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/Users/egecanaktan/Desktop/29 Eyl/"/>
    </mc:Choice>
  </mc:AlternateContent>
  <xr:revisionPtr revIDLastSave="0" documentId="13_ncr:1_{95FA9D3E-6D2E-CD4F-A26A-F93E7A086D87}" xr6:coauthVersionLast="47" xr6:coauthVersionMax="47" xr10:uidLastSave="{00000000-0000-0000-0000-000000000000}"/>
  <bookViews>
    <workbookView xWindow="80" yWindow="760" windowWidth="30160" windowHeight="16500" xr2:uid="{00000000-000D-0000-FFFF-FFFF00000000}"/>
  </bookViews>
  <sheets>
    <sheet name="pivot" sheetId="22" r:id="rId1"/>
    <sheet name="raw data" sheetId="21" r:id="rId2"/>
  </sheets>
  <calcPr calcId="191029"/>
  <pivotCaches>
    <pivotCache cacheId="2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<sst xmlns="http://schemas.openxmlformats.org/spreadsheetml/2006/main" count="1347" uniqueCount="236">
  <si>
    <t>run_id</t>
  </si>
  <si>
    <t>created_at</t>
  </si>
  <si>
    <t>instance</t>
  </si>
  <si>
    <t>X_class</t>
  </si>
  <si>
    <t>period</t>
  </si>
  <si>
    <t>n_items</t>
  </si>
  <si>
    <t>cap_mean</t>
  </si>
  <si>
    <t>status_label</t>
  </si>
  <si>
    <t>solver_version</t>
  </si>
  <si>
    <t>objective</t>
  </si>
  <si>
    <t>best_bound</t>
  </si>
  <si>
    <t>GAP</t>
  </si>
  <si>
    <t>runtime_sec</t>
  </si>
  <si>
    <t>run_batch</t>
  </si>
  <si>
    <t>solver_bucket</t>
  </si>
  <si>
    <t>A</t>
  </si>
  <si>
    <t>B</t>
  </si>
  <si>
    <t>C</t>
  </si>
  <si>
    <t>D</t>
  </si>
  <si>
    <t>E</t>
  </si>
  <si>
    <t>F</t>
  </si>
  <si>
    <t>A_T</t>
  </si>
  <si>
    <t>B_n_items</t>
  </si>
  <si>
    <t>C_cap</t>
  </si>
  <si>
    <t>D_cv</t>
  </si>
  <si>
    <t>E_bucket</t>
  </si>
  <si>
    <t>872772a1-fc4f-405a-bc82-14c2d73f7cd5</t>
  </si>
  <si>
    <t>68cccf23-1c1b-427b-8530-07ea9d7e2da0</t>
  </si>
  <si>
    <t>a3b5aba3-b0d7-45b4-8cdd-0ae21952eb6a</t>
  </si>
  <si>
    <t>af18b902-13da-4d86-a1ac-9fc54392d76d</t>
  </si>
  <si>
    <t>bfcb3f57-3aa9-433c-9cb3-fd89ab9e4df2</t>
  </si>
  <si>
    <t>01b43e95-5bb3-45bc-95af-55aee736c0a4</t>
  </si>
  <si>
    <t>d27b053b-4ace-4bc7-9e94-b4d8dbae0cdc</t>
  </si>
  <si>
    <t>93827f8c-b144-4032-8577-9dc098813ff0</t>
  </si>
  <si>
    <t>4d770a4a-c229-4f90-b654-2f8b0de2781b</t>
  </si>
  <si>
    <t>0c628bb6-a681-4ff4-84ac-715c95772bc3</t>
  </si>
  <si>
    <t>de25e622-c53e-4f83-9b06-36bd1bd4b27e</t>
  </si>
  <si>
    <t>1ba96234-e9be-43aa-8aeb-83ce08c8b76d</t>
  </si>
  <si>
    <t>dfd05b00-da74-4e68-ba51-ff9cecdad53e</t>
  </si>
  <si>
    <t>7914d492-6054-43e7-9234-07cf952a5548</t>
  </si>
  <si>
    <t>e3fb1390-07ad-437f-b11c-d766683c1d9b</t>
  </si>
  <si>
    <t>ad7278ff-9bb1-4817-8c43-0241c96ba4d4</t>
  </si>
  <si>
    <t>b91455be-0cb4-44e0-8f8c-04a07164da87</t>
  </si>
  <si>
    <t>945ddcbd-cdd8-4f55-b24f-e930718f2922</t>
  </si>
  <si>
    <t>262e5f14-ba7c-4af3-bf4a-65ac8cbf9254</t>
  </si>
  <si>
    <t>61d0998f-3edb-49ea-86b2-c78181cf5802</t>
  </si>
  <si>
    <t>db4a74fd-80db-4917-9825-5747464a321b</t>
  </si>
  <si>
    <t>9c608779-36ce-4380-91a6-6d5d7d139b50</t>
  </si>
  <si>
    <t>721534a9-2def-43d7-91aa-2a7517aa4c2c</t>
  </si>
  <si>
    <t>24f6dc72-864b-41f1-8b83-aa6aef17695a</t>
  </si>
  <si>
    <t>c5b850da-e883-4a45-ae26-f5d2946cef6b</t>
  </si>
  <si>
    <t>d63b3bfa-92a9-405a-8871-a1954e987d48</t>
  </si>
  <si>
    <t>e7666d1b-0fef-42e7-8d8f-e09dfaed1fa8</t>
  </si>
  <si>
    <t>ed09c2f0-1bf8-43b5-8b7c-ebba160b48fd</t>
  </si>
  <si>
    <t>966913c9-9b9b-4a6f-9194-63c3463112d7</t>
  </si>
  <si>
    <t>8b01b040-08d7-4c78-8f83-9c04bf6bae61</t>
  </si>
  <si>
    <t>0cdc18eb-0f93-4d7b-9615-9d6115f41020</t>
  </si>
  <si>
    <t>5fe40877-672f-40e3-b2a2-508c3743ccc8</t>
  </si>
  <si>
    <t>4a419311-76f8-4940-9649-4c72ea800f93</t>
  </si>
  <si>
    <t>dc5d5539-3a44-421a-8159-3349d8db85c5</t>
  </si>
  <si>
    <t>a44d13e4-8a9f-4a78-b673-3e4b860afbf0</t>
  </si>
  <si>
    <t>43e10c37-52e5-4d52-93c6-bcd60c46a360</t>
  </si>
  <si>
    <t>7c7beea4-9f3a-4add-bf64-c8961cd87f04</t>
  </si>
  <si>
    <t>80501c20-9bb6-467e-b853-02feacfd27cf</t>
  </si>
  <si>
    <t>1a402b43-1c28-45d3-b805-f23c221c9ff3</t>
  </si>
  <si>
    <t>e00c86bb-a7b1-45f2-a18b-663b64f1ceaa</t>
  </si>
  <si>
    <t>4991b1dd-e465-426e-ba44-ec746c80f2dc</t>
  </si>
  <si>
    <t>78962478-e4db-4429-9cec-7e0e004159ef</t>
  </si>
  <si>
    <t>e75e20cb-d1a5-428e-ab3c-a1ece1b54d7b</t>
  </si>
  <si>
    <t>45398075-3143-4dae-9134-4b98e594aba0</t>
  </si>
  <si>
    <t>2b42afb1-0b88-4529-b576-c032e1ae4cf8</t>
  </si>
  <si>
    <t>374b7ebe-7460-4497-9413-5084ca0ad5d3</t>
  </si>
  <si>
    <t>84ec657c-5a4d-472d-8256-940efb7185e7</t>
  </si>
  <si>
    <t>08ce41a6-c072-4db6-abd7-7e5460cb3e97</t>
  </si>
  <si>
    <t>e7579a1a-479e-4b03-9eab-b13c5a42b546</t>
  </si>
  <si>
    <t>43efd105-2b3d-47a5-bd6e-d43672b78536</t>
  </si>
  <si>
    <t>eaa8e491-3d71-4532-a27c-82ef7cc9855f</t>
  </si>
  <si>
    <t>b2c972bd-183e-4055-a787-26b827867e9a</t>
  </si>
  <si>
    <t>b2970dda-45b5-4222-a56d-a40bee9643ee</t>
  </si>
  <si>
    <t>a8963747-c6f3-4d82-8ec4-552cd4f25565</t>
  </si>
  <si>
    <t>17a76c00-1686-467f-b133-47ee9bd00fe1</t>
  </si>
  <si>
    <t>83778427-8ccc-4fe7-a484-7cf7a75df083</t>
  </si>
  <si>
    <t>030bbe34-9dd7-4d29-998e-b574293ea19a</t>
  </si>
  <si>
    <t>326f9938-880f-4e42-a30d-55f7ddaf28db</t>
  </si>
  <si>
    <t>21390385-d2ce-4ac4-8597-4e51a3a88c3e</t>
  </si>
  <si>
    <t>2f2993e5-0f28-4333-aae2-892133a030be</t>
  </si>
  <si>
    <t>81710878-a82d-4c00-8f40-33dd7151f5e3</t>
  </si>
  <si>
    <t>23d7d3aa-3ac6-4d96-a3b0-61831de00e70</t>
  </si>
  <si>
    <t>319e4a33-451a-405f-a39d-23adcf8ffe07</t>
  </si>
  <si>
    <t>5bf723e8-56a0-4532-b4ac-91d31b8db0e0</t>
  </si>
  <si>
    <t>8d177015-1f4e-42c2-a2ce-14af652f28d1</t>
  </si>
  <si>
    <t>456e4b97-761a-4ce5-aed9-c5e80dbbc08d</t>
  </si>
  <si>
    <t>a56140b5-e27b-4be6-95fc-9e321c0ae73d</t>
  </si>
  <si>
    <t>2750b10a-e21f-4fae-9af9-1f24a54ef36f</t>
  </si>
  <si>
    <t>8bdcc072-74ab-48e9-b0cc-432b9054f764</t>
  </si>
  <si>
    <t>67940d6d-6e02-4ecb-bd36-64f017c0d59d</t>
  </si>
  <si>
    <t>49a7b42c-9d89-4c20-b7e7-3ad23ce1c807</t>
  </si>
  <si>
    <t>9b5d924d-1850-413e-8287-8c3f5a94abed</t>
  </si>
  <si>
    <t>9df7a4fd-929d-4a28-8de1-c29fa373a5e7</t>
  </si>
  <si>
    <t>71f9dd76-3fb7-4e49-af49-2b3be78c34e1</t>
  </si>
  <si>
    <t>e2f80597-ac15-4525-9055-c3a6931404c9</t>
  </si>
  <si>
    <t>ea84745c-f125-4680-ae8c-01e85a81331e</t>
  </si>
  <si>
    <t>be011098-f56d-4dd0-91d0-93fb09940888</t>
  </si>
  <si>
    <t>2974882c-49d3-4f8a-ba6e-58b827aec253</t>
  </si>
  <si>
    <t>2025-09-27T06:43:45.720283+00:00</t>
  </si>
  <si>
    <t>2025-09-27T04:42:52.092957+00:00</t>
  </si>
  <si>
    <t>2025-09-27T07:03:55.177709+00:00</t>
  </si>
  <si>
    <t>2025-09-27T08:04:22.087259+00:00</t>
  </si>
  <si>
    <t>2025-09-27T10:25:24.72008+00:00</t>
  </si>
  <si>
    <t>2025-09-27T11:05:41.385324+00:00</t>
  </si>
  <si>
    <t>2025-09-26T23:40:42.577893+00:00</t>
  </si>
  <si>
    <t>2025-09-27T08:24:30.933993+00:00</t>
  </si>
  <si>
    <t>2025-09-27T09:24:56.947542+00:00</t>
  </si>
  <si>
    <t>2025-09-26T23:20:33.59008+00:00</t>
  </si>
  <si>
    <t>2025-09-27T09:45:06.870886+00:00</t>
  </si>
  <si>
    <t>2025-09-27T04:22:44.182606+00:00</t>
  </si>
  <si>
    <t>2025-09-27T08:44:39.184872+00:00</t>
  </si>
  <si>
    <t>2025-09-27T11:45:58.211014+00:00</t>
  </si>
  <si>
    <t>2025-09-27T01:01:17.064458+00:00</t>
  </si>
  <si>
    <t>2025-09-27T11:25:49.209792+00:00</t>
  </si>
  <si>
    <t>2025-09-27T05:23:10.482014+00:00</t>
  </si>
  <si>
    <t>2025-09-27T01:21:25.597645+00:00</t>
  </si>
  <si>
    <t>2025-09-27T10:05:16.174427+00:00</t>
  </si>
  <si>
    <t>2025-09-27T00:41:07.846394+00:00</t>
  </si>
  <si>
    <t>2025-09-27T03:02:08.500792+00:00</t>
  </si>
  <si>
    <t>2025-09-27T02:41:59.862323+00:00</t>
  </si>
  <si>
    <t>2025-09-27T07:24:04.607857+00:00</t>
  </si>
  <si>
    <t>2025-09-27T00:00:50.663646+00:00</t>
  </si>
  <si>
    <t>2025-09-26T23:00:25.06722+00:00</t>
  </si>
  <si>
    <t>2025-09-27T01:41:33.740356+00:00</t>
  </si>
  <si>
    <t>2025-09-27T04:02:35.133956+00:00</t>
  </si>
  <si>
    <t>2025-09-27T02:01:41.846237+00:00</t>
  </si>
  <si>
    <t>2025-09-27T07:44:13.37676+00:00</t>
  </si>
  <si>
    <t>2025-09-27T06:53:47.438598+00:00</t>
  </si>
  <si>
    <t>2025-09-27T07:13:57.137352+00:00</t>
  </si>
  <si>
    <t>2025-09-27T10:15:17.533499+00:00</t>
  </si>
  <si>
    <t>2025-09-27T03:42:25.333346+00:00</t>
  </si>
  <si>
    <t>2025-09-27T11:55:59.840176+00:00</t>
  </si>
  <si>
    <t>2025-09-27T11:15:42.44172+00:00</t>
  </si>
  <si>
    <t>2025-09-27T05:43:19.25775+00:00</t>
  </si>
  <si>
    <t>2025-09-27T00:51:09.272032+00:00</t>
  </si>
  <si>
    <t>2025-09-27T08:14:23.861727+00:00</t>
  </si>
  <si>
    <t>2025-09-27T04:32:45.339812+00:00</t>
  </si>
  <si>
    <t>2025-09-27T11:35:50.318806+00:00</t>
  </si>
  <si>
    <t>2025-09-27T06:03:27.620395+00:00</t>
  </si>
  <si>
    <t>2025-09-27T05:03:01.765865+00:00</t>
  </si>
  <si>
    <t>2025-09-27T09:55:08.446765+00:00</t>
  </si>
  <si>
    <t>2025-09-27T08:34:32.279824+00:00</t>
  </si>
  <si>
    <t>2025-09-26T23:50:43.811286+00:00</t>
  </si>
  <si>
    <t>2025-09-26T23:30:35.212768+00:00</t>
  </si>
  <si>
    <t>2025-09-27T10:35:25.808829+00:00</t>
  </si>
  <si>
    <t>2025-09-27T06:23:36.173145+00:00</t>
  </si>
  <si>
    <t>2025-09-27T08:54:40.691958+00:00</t>
  </si>
  <si>
    <t>2025-09-27T01:11:18.130345+00:00</t>
  </si>
  <si>
    <t>2025-09-27T05:33:11.833105+00:00</t>
  </si>
  <si>
    <t>2025-09-26T23:10:26.55809+00:00</t>
  </si>
  <si>
    <t>2025-09-27T05:53:20.337235+00:00</t>
  </si>
  <si>
    <t>2025-09-26T22:40:15.891875+00:00</t>
  </si>
  <si>
    <t>2025-09-27T09:04:48.485104+00:00</t>
  </si>
  <si>
    <t>2025-09-27T00:10:51.691774+00:00</t>
  </si>
  <si>
    <t>2025-09-27T02:52:00.827184+00:00</t>
  </si>
  <si>
    <t>2025-09-27T07:34:06.203077+00:00</t>
  </si>
  <si>
    <t>2025-09-27T06:13:28.799197+00:00</t>
  </si>
  <si>
    <t>2025-09-27T04:52:53.816217+00:00</t>
  </si>
  <si>
    <t>2025-09-27T01:31:26.548653+00:00</t>
  </si>
  <si>
    <t>2025-09-27T03:12:09.635248+00:00</t>
  </si>
  <si>
    <t>2025-09-27T09:34:58.681949+00:00</t>
  </si>
  <si>
    <t>2025-09-27T00:31:00.732462+00:00</t>
  </si>
  <si>
    <t>2025-09-27T07:54:14.54613+00:00</t>
  </si>
  <si>
    <t>2025-09-27T05:13:03.233455+00:00</t>
  </si>
  <si>
    <t>2025-09-27T03:22:16.497052+00:00</t>
  </si>
  <si>
    <t>2025-09-27T02:11:43.024835+00:00</t>
  </si>
  <si>
    <t>2025-09-26T22:50:17.427949+00:00</t>
  </si>
  <si>
    <t>2025-09-27T10:45:33.012994+00:00</t>
  </si>
  <si>
    <t>2025-09-27T02:31:51.991695+00:00</t>
  </si>
  <si>
    <t>2025-09-27T03:52:26.840552+00:00</t>
  </si>
  <si>
    <t>2025-09-27T01:51:34.967777+00:00</t>
  </si>
  <si>
    <t>2025-09-27T06:33:38.214718+00:00</t>
  </si>
  <si>
    <t>2025-09-27T04:12:36.750606+00:00</t>
  </si>
  <si>
    <t>2025-09-27T10:55:34.117691+00:00</t>
  </si>
  <si>
    <t>2025-09-27T09:14:49.913891+00:00</t>
  </si>
  <si>
    <t>2025-09-27T03:32:17.89363+00:00</t>
  </si>
  <si>
    <t>ins#2</t>
  </si>
  <si>
    <t>ins#1</t>
  </si>
  <si>
    <t>ins#5</t>
  </si>
  <si>
    <t>ins#4</t>
  </si>
  <si>
    <t>ins#3</t>
  </si>
  <si>
    <t>X332HB12</t>
  </si>
  <si>
    <t>X332LB12</t>
  </si>
  <si>
    <t>X331LB12</t>
  </si>
  <si>
    <t>X331HB12</t>
  </si>
  <si>
    <t>X332HB8</t>
  </si>
  <si>
    <t>X331LB8</t>
  </si>
  <si>
    <t>X332LB8</t>
  </si>
  <si>
    <t>X331HB8</t>
  </si>
  <si>
    <t>TIME_LIMIT</t>
  </si>
  <si>
    <t>lefo_mip_v1</t>
  </si>
  <si>
    <t>lefo_mip_no_shelf_v1</t>
  </si>
  <si>
    <t>3</t>
  </si>
  <si>
    <t>2</t>
  </si>
  <si>
    <t>1</t>
  </si>
  <si>
    <t>H</t>
  </si>
  <si>
    <t>L</t>
  </si>
  <si>
    <t>12</t>
  </si>
  <si>
    <t>8</t>
  </si>
  <si>
    <t>Loose</t>
  </si>
  <si>
    <t>High</t>
  </si>
  <si>
    <t>Low</t>
  </si>
  <si>
    <t>B(0–3T/4)</t>
  </si>
  <si>
    <t>Tight</t>
  </si>
  <si>
    <t>id</t>
  </si>
  <si>
    <t>Row Labels</t>
  </si>
  <si>
    <t>Grand Total</t>
  </si>
  <si>
    <t>Average of GAP</t>
  </si>
  <si>
    <t>Column Labels</t>
  </si>
  <si>
    <t>Total Average of GAP</t>
  </si>
  <si>
    <t>Total Count of instance</t>
  </si>
  <si>
    <t>Count of instance</t>
  </si>
  <si>
    <t>Total StdDev of GAP</t>
  </si>
  <si>
    <t>StdDev of GAP</t>
  </si>
  <si>
    <t>Total Max of GAP</t>
  </si>
  <si>
    <t>Max of GAP</t>
  </si>
  <si>
    <t>Total Min of GAP</t>
  </si>
  <si>
    <t>Min of GAP</t>
  </si>
  <si>
    <t>8fcea60d-5ab5-457f-aa95-8f078a90d055</t>
  </si>
  <si>
    <t>2025-10-12T10:44:58.39286+00:00</t>
  </si>
  <si>
    <t>dc281444-72dc-4411-9107-f45689b2d703</t>
  </si>
  <si>
    <t>2025-10-12T11:11:57.371857+00:00</t>
  </si>
  <si>
    <t>40 Periods</t>
  </si>
  <si>
    <t>30 Items</t>
  </si>
  <si>
    <t>Loose Capacity</t>
  </si>
  <si>
    <t>High Demand Variance</t>
  </si>
  <si>
    <t>B(0–3T/4), Shelf life distribution</t>
  </si>
  <si>
    <t>12 TBO</t>
  </si>
  <si>
    <t>8 TBO</t>
  </si>
  <si>
    <t>Low Demand 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</si>
</sst>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pivotButton="1"/>
    <xf numFmtId="10" fontId="0" fillId="0" borderId="0" xfId="0" applyNumberFormat="1"/>
    <xf numFmtId="0" fontId="0" fillId="2" borderId="0" xfId="0" applyFill="1"/>
    <xf numFmtId="10" fontId="0" fillId="2" borderId="0" xfId="0" applyNumberFormat="1" applyFill="1"/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Alignment="1">
      <alignment horizontal="left" indent="4"/>
    </xf>
    <xf numFmtId="0" fontId="0" fillId="2" borderId="0" xfId="0" applyFill="1" applyAlignment="1">
      <alignment horizontal="left" indent="5"/>
    </xf>
    <xf numFmtId="0" fontId="0" fillId="2" borderId="0" xfId="0" applyNumberFormat="1" applyFill="1"/>
    <xf numFmtId="10" fontId="0" fillId="4" borderId="0" xfId="0" applyNumberFormat="1" applyFill="1"/>
    <xf numFmtId="10" fontId="0" fillId="3" borderId="0" xfId="0" applyNumberFormat="1" applyFill="1"/>
  </cellXfs>
  <cellStyles count="1">
    <cellStyle name="Normal" xfId="0" builtinId="0"/>
  </cellStyles>
  <dxfs count="195">
    <dxf>
      <numFmt numFmtId="14" formatCode="0.00%"/>
    </dxf>
    <dxf>
      <numFmt numFmtId="14" formatCode="0.00%"/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numFmt numFmtId="14" formatCode="0.00%"/>
    </dxf>
    <dxf>
      <numFmt numFmtId="14" formatCode="0.00%"/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numFmt numFmtId="14" formatCode="0.00%"/>
    </dxf>
    <dxf>
      <numFmt numFmtId="14" formatCode="0.00%"/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numFmt numFmtId="14" formatCode="0.00%"/>
    </dxf>
    <dxf>
      <numFmt numFmtId="14" formatCode="0.00%"/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numFmt numFmtId="14" formatCode="0.00%"/>
    </dxf>
    <dxf>
      <numFmt numFmtId="14" formatCode="0.00%"/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numFmt numFmtId="14" formatCode="0.00%"/>
    </dxf>
    <dxf>
      <numFmt numFmtId="14" formatCode="0.00%"/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numFmt numFmtId="14" formatCode="0.00%"/>
    </dxf>
    <dxf>
      <numFmt numFmtId="14" formatCode="0.00%"/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numFmt numFmtId="14" formatCode="0.00%"/>
    </dxf>
    <dxf>
      <numFmt numFmtId="14" formatCode="0.00%"/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numFmt numFmtId="14" formatCode="0.00%"/>
    </dxf>
    <dxf>
      <numFmt numFmtId="14" formatCode="0.00%"/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numFmt numFmtId="14" formatCode="0.00%"/>
    </dxf>
    <dxf>
      <numFmt numFmtId="14" formatCode="0.00%"/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numFmt numFmtId="14" formatCode="0.00%"/>
    </dxf>
    <dxf>
      <numFmt numFmtId="14" formatCode="0.00%"/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numFmt numFmtId="14" formatCode="0.00%"/>
    </dxf>
    <dxf>
      <numFmt numFmtId="14" formatCode="0.00%"/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5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numFmt numFmtId="14" formatCode="0.00%"/>
    </dxf>
    <dxf>
      <numFmt numFmtId="14" formatCode="0.00%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gecan Aktan" refreshedDate="45942.996527546296" createdVersion="8" refreshedVersion="8" minRefreshableVersion="3" recordCount="80" xr:uid="{0F895123-64CD-4345-84FB-8AEED6E8D9CA}">
  <cacheSource type="worksheet">
    <worksheetSource ref="A1:AA81" sheet="raw data"/>
  </cacheSource>
  <cacheFields count="27">
    <cacheField name="id" numFmtId="0">
      <sharedItems containsSemiMixedTypes="0" containsString="0" containsNumber="1" containsInteger="1" minValue="0" maxValue="79"/>
    </cacheField>
    <cacheField name="run_id" numFmtId="0">
      <sharedItems/>
    </cacheField>
    <cacheField name="created_at" numFmtId="0">
      <sharedItems/>
    </cacheField>
    <cacheField name="instance" numFmtId="0">
      <sharedItems/>
    </cacheField>
    <cacheField name="X_class" numFmtId="0">
      <sharedItems/>
    </cacheField>
    <cacheField name="period" numFmtId="0">
      <sharedItems containsSemiMixedTypes="0" containsString="0" containsNumber="1" containsInteger="1" minValue="40" maxValue="40"/>
    </cacheField>
    <cacheField name="n_items" numFmtId="0">
      <sharedItems containsSemiMixedTypes="0" containsString="0" containsNumber="1" containsInteger="1" minValue="30" maxValue="30"/>
    </cacheField>
    <cacheField name="cap_mean" numFmtId="0">
      <sharedItems containsSemiMixedTypes="0" containsString="0" containsNumber="1" minValue="2267.3000000000002" maxValue="2989.625"/>
    </cacheField>
    <cacheField name="status_label" numFmtId="0">
      <sharedItems/>
    </cacheField>
    <cacheField name="solver_version" numFmtId="0">
      <sharedItems count="2">
        <s v="lefo_mip_v1"/>
        <s v="lefo_mip_no_shelf_v1"/>
      </sharedItems>
    </cacheField>
    <cacheField name="objective" numFmtId="0">
      <sharedItems containsSemiMixedTypes="0" containsString="0" containsNumber="1" minValue="622651.34787634958" maxValue="1810654.0917150271"/>
    </cacheField>
    <cacheField name="best_bound" numFmtId="0">
      <sharedItems containsSemiMixedTypes="0" containsString="0" containsNumber="1" minValue="568622.99856557301" maxValue="1634686.0480068631"/>
    </cacheField>
    <cacheField name="GAP" numFmtId="0">
      <sharedItems containsSemiMixedTypes="0" containsString="0" containsNumber="1" minValue="3.9233389866095997E-3" maxValue="0.54198807736112786"/>
    </cacheField>
    <cacheField name="runtime_sec" numFmtId="0">
      <sharedItems containsSemiMixedTypes="0" containsString="0" containsNumber="1" minValue="600.02939796447754" maxValue="600.40864300727844"/>
    </cacheField>
    <cacheField name="run_batch" numFmtId="0">
      <sharedItems containsSemiMixedTypes="0" containsString="0" containsNumber="1" containsInteger="1" minValue="11" maxValue="15"/>
    </cacheField>
    <cacheField name="solver_bucket" numFmtId="0">
      <sharedItems/>
    </cacheField>
    <cacheField name="A" numFmtId="0">
      <sharedItems/>
    </cacheField>
    <cacheField name="B" numFmtId="0">
      <sharedItems/>
    </cacheField>
    <cacheField name="C" numFmtId="0">
      <sharedItems/>
    </cacheField>
    <cacheField name="D" numFmtId="0">
      <sharedItems/>
    </cacheField>
    <cacheField name="E" numFmtId="0">
      <sharedItems/>
    </cacheField>
    <cacheField name="F" numFmtId="0">
      <sharedItems count="2">
        <s v="12"/>
        <s v="8"/>
      </sharedItems>
    </cacheField>
    <cacheField name="A_T" numFmtId="0">
      <sharedItems containsSemiMixedTypes="0" containsString="0" containsNumber="1" containsInteger="1" minValue="40" maxValue="40" count="1">
        <n v="40"/>
      </sharedItems>
    </cacheField>
    <cacheField name="B_n_items" numFmtId="0">
      <sharedItems containsSemiMixedTypes="0" containsString="0" containsNumber="1" containsInteger="1" minValue="30" maxValue="30" count="1">
        <n v="30"/>
      </sharedItems>
    </cacheField>
    <cacheField name="C_cap" numFmtId="0">
      <sharedItems count="2">
        <s v="Tight"/>
        <s v="Loose"/>
      </sharedItems>
    </cacheField>
    <cacheField name="D_cv" numFmtId="0">
      <sharedItems count="2">
        <s v="High"/>
        <s v="Low"/>
      </sharedItems>
    </cacheField>
    <cacheField name="E_bucket" numFmtId="0">
      <sharedItems count="1">
        <s v="B(0–3T/4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n v="31"/>
    <s v="872772a1-fc4f-405a-bc82-14c2d73f7cd5"/>
    <s v="2025-09-27T06:43:45.720283+00:00"/>
    <s v="ins#2"/>
    <s v="X332HB12"/>
    <n v="40"/>
    <n v="30"/>
    <n v="2700.375"/>
    <s v="TIME_LIMIT"/>
    <x v="0"/>
    <n v="1743183.595218644"/>
    <n v="798398.86995863263"/>
    <n v="0.54198807736112786"/>
    <n v="600.03683805465698"/>
    <n v="11"/>
    <s v="lefo_mip_v1"/>
    <s v="3"/>
    <s v="3"/>
    <s v="2"/>
    <s v="H"/>
    <s v="B"/>
    <x v="0"/>
    <x v="0"/>
    <x v="0"/>
    <x v="0"/>
    <x v="0"/>
    <x v="0"/>
  </r>
  <r>
    <n v="43"/>
    <s v="68cccf23-1c1b-427b-8530-07ea9d7e2da0"/>
    <s v="2025-09-27T04:42:52.092957+00:00"/>
    <s v="ins#1"/>
    <s v="X332HB12"/>
    <n v="40"/>
    <n v="30"/>
    <n v="2333.4"/>
    <s v="TIME_LIMIT"/>
    <x v="0"/>
    <n v="1636269.4085737569"/>
    <n v="806608.89452714473"/>
    <n v="0.50704395602542007"/>
    <n v="600.0600368976593"/>
    <n v="11"/>
    <s v="lefo_mip_v1"/>
    <s v="3"/>
    <s v="3"/>
    <s v="2"/>
    <s v="H"/>
    <s v="B"/>
    <x v="0"/>
    <x v="0"/>
    <x v="0"/>
    <x v="0"/>
    <x v="0"/>
    <x v="0"/>
  </r>
  <r>
    <n v="29"/>
    <s v="a3b5aba3-b0d7-45b4-8cdd-0ae21952eb6a"/>
    <s v="2025-09-27T07:03:55.177709+00:00"/>
    <s v="ins#5"/>
    <s v="X332HB12"/>
    <n v="40"/>
    <n v="30"/>
    <n v="2691.2750000000001"/>
    <s v="TIME_LIMIT"/>
    <x v="0"/>
    <n v="1810654.0917150271"/>
    <n v="918054.01098752324"/>
    <n v="0.49297106764442511"/>
    <n v="600.05322313308716"/>
    <n v="11"/>
    <s v="lefo_mip_v1"/>
    <s v="3"/>
    <s v="3"/>
    <s v="2"/>
    <s v="H"/>
    <s v="B"/>
    <x v="0"/>
    <x v="0"/>
    <x v="0"/>
    <x v="0"/>
    <x v="0"/>
    <x v="0"/>
  </r>
  <r>
    <n v="23"/>
    <s v="af18b902-13da-4d86-a1ac-9fc54392d76d"/>
    <s v="2025-09-27T08:04:22.087259+00:00"/>
    <s v="ins#1"/>
    <s v="X332LB12"/>
    <n v="40"/>
    <n v="30"/>
    <n v="2270.9"/>
    <s v="TIME_LIMIT"/>
    <x v="0"/>
    <n v="1413210.1165039011"/>
    <n v="739740.87096605473"/>
    <n v="0.47655280532800193"/>
    <n v="600.05574083328247"/>
    <n v="11"/>
    <s v="lefo_mip_v1"/>
    <s v="3"/>
    <s v="3"/>
    <s v="2"/>
    <s v="L"/>
    <s v="B"/>
    <x v="0"/>
    <x v="0"/>
    <x v="0"/>
    <x v="0"/>
    <x v="1"/>
    <x v="0"/>
  </r>
  <r>
    <n v="9"/>
    <s v="bfcb3f57-3aa9-433c-9cb3-fd89ab9e4df2"/>
    <s v="2025-09-27T10:25:24.72008+00:00"/>
    <s v="ins#4"/>
    <s v="X332HB12"/>
    <n v="40"/>
    <n v="30"/>
    <n v="2711.875"/>
    <s v="TIME_LIMIT"/>
    <x v="0"/>
    <n v="1650452.481084096"/>
    <n v="871658.17425405222"/>
    <n v="0.47186714901267229"/>
    <n v="600.0585720539093"/>
    <n v="11"/>
    <s v="lefo_mip_v1"/>
    <s v="3"/>
    <s v="3"/>
    <s v="2"/>
    <s v="H"/>
    <s v="B"/>
    <x v="0"/>
    <x v="0"/>
    <x v="0"/>
    <x v="0"/>
    <x v="0"/>
    <x v="0"/>
  </r>
  <r>
    <n v="5"/>
    <s v="01b43e95-5bb3-45bc-95af-55aee736c0a4"/>
    <s v="2025-09-27T11:05:41.385324+00:00"/>
    <s v="ins#3"/>
    <s v="X332HB12"/>
    <n v="40"/>
    <n v="30"/>
    <n v="2686.125"/>
    <s v="TIME_LIMIT"/>
    <x v="0"/>
    <n v="1653120.916142209"/>
    <n v="909927.40462152835"/>
    <n v="0.4495699644615393"/>
    <n v="600.04862308502197"/>
    <n v="11"/>
    <s v="lefo_mip_v1"/>
    <s v="3"/>
    <s v="3"/>
    <s v="2"/>
    <s v="H"/>
    <s v="B"/>
    <x v="0"/>
    <x v="0"/>
    <x v="0"/>
    <x v="0"/>
    <x v="0"/>
    <x v="0"/>
  </r>
  <r>
    <n v="73"/>
    <s v="d27b053b-4ace-4bc7-9e94-b4d8dbae0cdc"/>
    <s v="2025-09-26T23:40:42.577893+00:00"/>
    <s v="ins#5"/>
    <s v="X331LB12"/>
    <n v="40"/>
    <n v="30"/>
    <n v="2860.2750000000001"/>
    <s v="TIME_LIMIT"/>
    <x v="0"/>
    <n v="1451577.8624094559"/>
    <n v="821624.64372474118"/>
    <n v="0.43397824877203861"/>
    <n v="600.05773210525513"/>
    <n v="11"/>
    <s v="lefo_mip_v1"/>
    <s v="3"/>
    <s v="3"/>
    <s v="1"/>
    <s v="L"/>
    <s v="B"/>
    <x v="0"/>
    <x v="0"/>
    <x v="0"/>
    <x v="1"/>
    <x v="1"/>
    <x v="0"/>
  </r>
  <r>
    <n v="21"/>
    <s v="93827f8c-b144-4032-8577-9dc098813ff0"/>
    <s v="2025-09-27T08:24:30.933993+00:00"/>
    <s v="ins#1"/>
    <s v="X331HB12"/>
    <n v="40"/>
    <n v="30"/>
    <n v="2508.25"/>
    <s v="TIME_LIMIT"/>
    <x v="0"/>
    <n v="1282011.452926022"/>
    <n v="732040.08986080089"/>
    <n v="0.42899099053287237"/>
    <n v="600.047856092453"/>
    <n v="11"/>
    <s v="lefo_mip_v1"/>
    <s v="3"/>
    <s v="3"/>
    <s v="1"/>
    <s v="H"/>
    <s v="B"/>
    <x v="0"/>
    <x v="0"/>
    <x v="0"/>
    <x v="1"/>
    <x v="0"/>
    <x v="0"/>
  </r>
  <r>
    <n v="15"/>
    <s v="4d770a4a-c229-4f90-b654-2f8b0de2781b"/>
    <s v="2025-09-27T09:24:56.947542+00:00"/>
    <s v="ins#1"/>
    <s v="X332HB8"/>
    <n v="40"/>
    <n v="30"/>
    <n v="2322.4749999999999"/>
    <s v="TIME_LIMIT"/>
    <x v="0"/>
    <n v="929623.17969282763"/>
    <n v="568622.99856557301"/>
    <n v="0.38832958236533949"/>
    <n v="600.07527208328247"/>
    <n v="11"/>
    <s v="lefo_mip_v1"/>
    <s v="3"/>
    <s v="3"/>
    <s v="2"/>
    <s v="H"/>
    <s v="B"/>
    <x v="1"/>
    <x v="0"/>
    <x v="0"/>
    <x v="0"/>
    <x v="0"/>
    <x v="0"/>
  </r>
  <r>
    <n v="75"/>
    <s v="0c628bb6-a681-4ff4-84ac-715c95772bc3"/>
    <s v="2025-09-26T23:20:33.59008+00:00"/>
    <s v="ins#5"/>
    <s v="X332LB12"/>
    <n v="40"/>
    <n v="30"/>
    <n v="2638.1"/>
    <s v="TIME_LIMIT"/>
    <x v="0"/>
    <n v="1728538.3681119401"/>
    <n v="1087917.535506346"/>
    <n v="0.37061418156736409"/>
    <n v="600.05732607841492"/>
    <n v="11"/>
    <s v="lefo_mip_v1"/>
    <s v="3"/>
    <s v="3"/>
    <s v="2"/>
    <s v="L"/>
    <s v="B"/>
    <x v="0"/>
    <x v="0"/>
    <x v="0"/>
    <x v="0"/>
    <x v="1"/>
    <x v="0"/>
  </r>
  <r>
    <n v="13"/>
    <s v="de25e622-c53e-4f83-9b06-36bd1bd4b27e"/>
    <s v="2025-09-27T09:45:06.870886+00:00"/>
    <s v="ins#3"/>
    <s v="X332LB12"/>
    <n v="40"/>
    <n v="30"/>
    <n v="2640.9250000000002"/>
    <s v="TIME_LIMIT"/>
    <x v="0"/>
    <n v="1781389.27442105"/>
    <n v="1133573.869056351"/>
    <n v="0.3636574075451523"/>
    <n v="600.05081415176392"/>
    <n v="11"/>
    <s v="lefo_mip_v1"/>
    <s v="3"/>
    <s v="3"/>
    <s v="2"/>
    <s v="L"/>
    <s v="B"/>
    <x v="0"/>
    <x v="0"/>
    <x v="0"/>
    <x v="0"/>
    <x v="1"/>
    <x v="0"/>
  </r>
  <r>
    <n v="45"/>
    <s v="1ba96234-e9be-43aa-8aeb-83ce08c8b76d"/>
    <s v="2025-09-27T04:22:44.182606+00:00"/>
    <s v="ins#4"/>
    <s v="X331LB12"/>
    <n v="40"/>
    <n v="30"/>
    <n v="2884.45"/>
    <s v="TIME_LIMIT"/>
    <x v="0"/>
    <n v="1476552.6365504351"/>
    <n v="973889.64542500966"/>
    <n v="0.3404301199175408"/>
    <n v="600.23386406898499"/>
    <n v="11"/>
    <s v="lefo_mip_v1"/>
    <s v="3"/>
    <s v="3"/>
    <s v="1"/>
    <s v="L"/>
    <s v="B"/>
    <x v="0"/>
    <x v="0"/>
    <x v="0"/>
    <x v="1"/>
    <x v="1"/>
    <x v="0"/>
  </r>
  <r>
    <n v="19"/>
    <s v="dfd05b00-da74-4e68-ba51-ff9cecdad53e"/>
    <s v="2025-09-27T08:44:39.184872+00:00"/>
    <s v="ins#4"/>
    <s v="X332LB12"/>
    <n v="40"/>
    <n v="30"/>
    <n v="2633.5749999999998"/>
    <s v="TIME_LIMIT"/>
    <x v="0"/>
    <n v="1755917.9952406259"/>
    <n v="1168244.4384333601"/>
    <n v="0.3346816641780202"/>
    <n v="600.05479907989502"/>
    <n v="11"/>
    <s v="lefo_mip_v1"/>
    <s v="3"/>
    <s v="3"/>
    <s v="2"/>
    <s v="L"/>
    <s v="B"/>
    <x v="0"/>
    <x v="0"/>
    <x v="0"/>
    <x v="0"/>
    <x v="1"/>
    <x v="0"/>
  </r>
  <r>
    <n v="1"/>
    <s v="7914d492-6054-43e7-9234-07cf952a5548"/>
    <s v="2025-09-27T11:45:58.211014+00:00"/>
    <s v="ins#4"/>
    <s v="X331HB12"/>
    <n v="40"/>
    <n v="30"/>
    <n v="2908.9"/>
    <s v="TIME_LIMIT"/>
    <x v="0"/>
    <n v="1483530.608497526"/>
    <n v="989034.09534741577"/>
    <n v="0.3333241055612064"/>
    <n v="600.05373811721802"/>
    <n v="11"/>
    <s v="lefo_mip_v1"/>
    <s v="3"/>
    <s v="3"/>
    <s v="1"/>
    <s v="H"/>
    <s v="B"/>
    <x v="0"/>
    <x v="0"/>
    <x v="0"/>
    <x v="1"/>
    <x v="0"/>
    <x v="0"/>
  </r>
  <r>
    <n v="65"/>
    <s v="e3fb1390-07ad-437f-b11c-d766683c1d9b"/>
    <s v="2025-09-27T01:01:17.064458+00:00"/>
    <s v="ins#2"/>
    <s v="X331HB12"/>
    <n v="40"/>
    <n v="30"/>
    <n v="2989.625"/>
    <s v="TIME_LIMIT"/>
    <x v="0"/>
    <n v="1480613.0445667349"/>
    <n v="987795.81741184124"/>
    <n v="0.3328467413976518"/>
    <n v="600.05188298225403"/>
    <n v="11"/>
    <s v="lefo_mip_v1"/>
    <s v="3"/>
    <s v="3"/>
    <s v="1"/>
    <s v="H"/>
    <s v="B"/>
    <x v="0"/>
    <x v="0"/>
    <x v="0"/>
    <x v="1"/>
    <x v="0"/>
    <x v="0"/>
  </r>
  <r>
    <n v="3"/>
    <s v="ad7278ff-9bb1-4817-8c43-0241c96ba4d4"/>
    <s v="2025-09-27T11:25:49.209792+00:00"/>
    <s v="ins#5"/>
    <s v="X331HB12"/>
    <n v="40"/>
    <n v="30"/>
    <n v="2962.7249999999999"/>
    <s v="TIME_LIMIT"/>
    <x v="0"/>
    <n v="1518826.787014822"/>
    <n v="1013588.412994198"/>
    <n v="0.33265042356386498"/>
    <n v="600.05965685844421"/>
    <n v="11"/>
    <s v="lefo_mip_v1"/>
    <s v="3"/>
    <s v="3"/>
    <s v="1"/>
    <s v="H"/>
    <s v="B"/>
    <x v="0"/>
    <x v="0"/>
    <x v="0"/>
    <x v="1"/>
    <x v="0"/>
    <x v="0"/>
  </r>
  <r>
    <n v="39"/>
    <s v="b91455be-0cb4-44e0-8f8c-04a07164da87"/>
    <s v="2025-09-27T05:23:10.482014+00:00"/>
    <s v="ins#1"/>
    <s v="X331LB12"/>
    <n v="40"/>
    <n v="30"/>
    <n v="2403.625"/>
    <s v="TIME_LIMIT"/>
    <x v="0"/>
    <n v="1200161.007108568"/>
    <n v="803023.73465804872"/>
    <n v="0.33090332888526658"/>
    <n v="600.04919695854187"/>
    <n v="11"/>
    <s v="lefo_mip_v1"/>
    <s v="3"/>
    <s v="3"/>
    <s v="1"/>
    <s v="L"/>
    <s v="B"/>
    <x v="0"/>
    <x v="0"/>
    <x v="0"/>
    <x v="1"/>
    <x v="1"/>
    <x v="0"/>
  </r>
  <r>
    <n v="63"/>
    <s v="945ddcbd-cdd8-4f55-b24f-e930718f2922"/>
    <s v="2025-09-27T01:21:25.597645+00:00"/>
    <s v="ins#3"/>
    <s v="X331HB12"/>
    <n v="40"/>
    <n v="30"/>
    <n v="2976.5"/>
    <s v="TIME_LIMIT"/>
    <x v="0"/>
    <n v="1464048.101113247"/>
    <n v="989515.38789125963"/>
    <n v="0.32412371756170971"/>
    <n v="600.08278107643127"/>
    <n v="11"/>
    <s v="lefo_mip_v1"/>
    <s v="3"/>
    <s v="3"/>
    <s v="1"/>
    <s v="H"/>
    <s v="B"/>
    <x v="0"/>
    <x v="0"/>
    <x v="0"/>
    <x v="1"/>
    <x v="0"/>
    <x v="0"/>
  </r>
  <r>
    <n v="11"/>
    <s v="262e5f14-ba7c-4af3-bf4a-65ac8cbf9254"/>
    <s v="2025-09-27T10:05:16.174427+00:00"/>
    <s v="ins#2"/>
    <s v="X331LB12"/>
    <n v="40"/>
    <n v="30"/>
    <n v="2876.9"/>
    <s v="TIME_LIMIT"/>
    <x v="0"/>
    <n v="1406781.190406739"/>
    <n v="963064.48601432075"/>
    <n v="0.31541273612289861"/>
    <n v="600.05364513397217"/>
    <n v="11"/>
    <s v="lefo_mip_v1"/>
    <s v="3"/>
    <s v="3"/>
    <s v="1"/>
    <s v="L"/>
    <s v="B"/>
    <x v="0"/>
    <x v="0"/>
    <x v="0"/>
    <x v="1"/>
    <x v="1"/>
    <x v="0"/>
  </r>
  <r>
    <n v="67"/>
    <s v="61d0998f-3edb-49ea-86b2-c78181cf5802"/>
    <s v="2025-09-27T00:41:07.846394+00:00"/>
    <s v="ins#3"/>
    <s v="X331LB12"/>
    <n v="40"/>
    <n v="30"/>
    <n v="2839"/>
    <s v="TIME_LIMIT"/>
    <x v="0"/>
    <n v="1386745.441883415"/>
    <n v="951476.22569140641"/>
    <n v="0.3138782382445372"/>
    <n v="600.05142903327942"/>
    <n v="11"/>
    <s v="lefo_mip_v1"/>
    <s v="3"/>
    <s v="3"/>
    <s v="1"/>
    <s v="L"/>
    <s v="B"/>
    <x v="0"/>
    <x v="0"/>
    <x v="0"/>
    <x v="1"/>
    <x v="1"/>
    <x v="0"/>
  </r>
  <r>
    <n v="57"/>
    <s v="8fcea60d-5ab5-457f-aa95-8f078a90d055"/>
    <s v="2025-10-12T10:44:58.39286+00:00"/>
    <s v="ins#1"/>
    <s v="X331LB8"/>
    <n v="40"/>
    <n v="30"/>
    <n v="2441.2249999999999"/>
    <s v="TIME_LIMIT"/>
    <x v="0"/>
    <n v="637002.98343682894"/>
    <n v="630390.69207408698"/>
    <n v="1.03803145898412E-2"/>
    <n v="600.11741781234696"/>
    <n v="15"/>
    <s v="lefo_mip_v1"/>
    <s v="3"/>
    <s v="3"/>
    <s v="1"/>
    <s v="L"/>
    <s v="B"/>
    <x v="1"/>
    <x v="0"/>
    <x v="0"/>
    <x v="1"/>
    <x v="1"/>
    <x v="0"/>
  </r>
  <r>
    <n v="53"/>
    <s v="db4a74fd-80db-4917-9825-5747464a321b"/>
    <s v="2025-09-27T03:02:08.500792+00:00"/>
    <s v="ins#2"/>
    <s v="X332HB8"/>
    <n v="40"/>
    <n v="30"/>
    <n v="2708.2249999999999"/>
    <s v="TIME_LIMIT"/>
    <x v="0"/>
    <n v="974716.53873793164"/>
    <n v="749959.11179040861"/>
    <n v="0.23058747647653549"/>
    <n v="600.05643701553345"/>
    <n v="11"/>
    <s v="lefo_mip_v1"/>
    <s v="3"/>
    <s v="3"/>
    <s v="2"/>
    <s v="H"/>
    <s v="B"/>
    <x v="1"/>
    <x v="0"/>
    <x v="0"/>
    <x v="0"/>
    <x v="0"/>
    <x v="0"/>
  </r>
  <r>
    <n v="55"/>
    <s v="9c608779-36ce-4380-91a6-6d5d7d139b50"/>
    <s v="2025-09-27T02:41:59.862323+00:00"/>
    <s v="ins#3"/>
    <s v="X332HB8"/>
    <n v="40"/>
    <n v="30"/>
    <n v="2713.6"/>
    <s v="TIME_LIMIT"/>
    <x v="0"/>
    <n v="960903.83659563877"/>
    <n v="740032.26591771573"/>
    <n v="0.2298581421637812"/>
    <n v="600.05777597427368"/>
    <n v="11"/>
    <s v="lefo_mip_v1"/>
    <s v="3"/>
    <s v="3"/>
    <s v="2"/>
    <s v="H"/>
    <s v="B"/>
    <x v="1"/>
    <x v="0"/>
    <x v="0"/>
    <x v="0"/>
    <x v="0"/>
    <x v="0"/>
  </r>
  <r>
    <n v="27"/>
    <s v="721534a9-2def-43d7-91aa-2a7517aa4c2c"/>
    <s v="2025-09-27T07:24:04.607857+00:00"/>
    <s v="ins#4"/>
    <s v="X332HB8"/>
    <n v="40"/>
    <n v="30"/>
    <n v="2709.7"/>
    <s v="TIME_LIMIT"/>
    <x v="0"/>
    <n v="953131.29181505879"/>
    <n v="747511.28784597374"/>
    <n v="0.21573103908646249"/>
    <n v="600.0529408454895"/>
    <n v="11"/>
    <s v="lefo_mip_v1"/>
    <s v="3"/>
    <s v="3"/>
    <s v="2"/>
    <s v="H"/>
    <s v="B"/>
    <x v="1"/>
    <x v="0"/>
    <x v="0"/>
    <x v="0"/>
    <x v="0"/>
    <x v="0"/>
  </r>
  <r>
    <n v="69"/>
    <s v="dc281444-72dc-4411-9107-f45689b2d703"/>
    <s v="2025-10-12T11:11:57.371857+00:00"/>
    <s v="ins#1"/>
    <s v="X332LB8"/>
    <n v="40"/>
    <n v="30"/>
    <n v="2267.3000000000002"/>
    <s v="TIME_LIMIT"/>
    <x v="0"/>
    <n v="688975.93415178999"/>
    <n v="669195.01730200998"/>
    <n v="2.87106063786297E-2"/>
    <n v="600.08884191513005"/>
    <n v="15"/>
    <s v="lefo_mip_v1"/>
    <s v="3"/>
    <s v="3"/>
    <s v="2"/>
    <s v="L"/>
    <s v="B"/>
    <x v="1"/>
    <x v="0"/>
    <x v="0"/>
    <x v="0"/>
    <x v="1"/>
    <x v="0"/>
  </r>
  <r>
    <n v="71"/>
    <s v="24f6dc72-864b-41f1-8b83-aa6aef17695a"/>
    <s v="2025-09-27T00:00:50.663646+00:00"/>
    <s v="ins#3"/>
    <s v="X332LB8"/>
    <n v="40"/>
    <n v="30"/>
    <n v="2647.85"/>
    <s v="TIME_LIMIT"/>
    <x v="0"/>
    <n v="870326.51361248805"/>
    <n v="819976.22242586233"/>
    <n v="5.7852185816602703E-2"/>
    <n v="600.06144785881042"/>
    <n v="11"/>
    <s v="lefo_mip_v1"/>
    <s v="3"/>
    <s v="3"/>
    <s v="2"/>
    <s v="L"/>
    <s v="B"/>
    <x v="1"/>
    <x v="0"/>
    <x v="0"/>
    <x v="0"/>
    <x v="1"/>
    <x v="0"/>
  </r>
  <r>
    <n v="77"/>
    <s v="c5b850da-e883-4a45-ae26-f5d2946cef6b"/>
    <s v="2025-09-26T23:00:25.06722+00:00"/>
    <s v="ins#2"/>
    <s v="X332LB8"/>
    <n v="40"/>
    <n v="30"/>
    <n v="2721.5"/>
    <s v="TIME_LIMIT"/>
    <x v="0"/>
    <n v="810296.33774502377"/>
    <n v="768601.69974705926"/>
    <n v="5.14560365828588E-2"/>
    <n v="600.05051898956299"/>
    <n v="11"/>
    <s v="lefo_mip_v1"/>
    <s v="3"/>
    <s v="3"/>
    <s v="2"/>
    <s v="L"/>
    <s v="B"/>
    <x v="1"/>
    <x v="0"/>
    <x v="0"/>
    <x v="0"/>
    <x v="1"/>
    <x v="0"/>
  </r>
  <r>
    <n v="61"/>
    <s v="d63b3bfa-92a9-405a-8871-a1954e987d48"/>
    <s v="2025-09-27T01:41:33.740356+00:00"/>
    <s v="ins#5"/>
    <s v="X331LB8"/>
    <n v="40"/>
    <n v="30"/>
    <n v="2877.0749999999998"/>
    <s v="TIME_LIMIT"/>
    <x v="0"/>
    <n v="785925.00273362792"/>
    <n v="746588.70631902001"/>
    <n v="5.0050954324887501E-2"/>
    <n v="600.05131912231445"/>
    <n v="11"/>
    <s v="lefo_mip_v1"/>
    <s v="3"/>
    <s v="3"/>
    <s v="1"/>
    <s v="L"/>
    <s v="B"/>
    <x v="1"/>
    <x v="0"/>
    <x v="0"/>
    <x v="1"/>
    <x v="1"/>
    <x v="0"/>
  </r>
  <r>
    <n v="47"/>
    <s v="e7666d1b-0fef-42e7-8d8f-e09dfaed1fa8"/>
    <s v="2025-09-27T04:02:35.133956+00:00"/>
    <s v="ins#4"/>
    <s v="X331LB8"/>
    <n v="40"/>
    <n v="30"/>
    <n v="2874.3249999999998"/>
    <s v="TIME_LIMIT"/>
    <x v="0"/>
    <n v="775555.59734701901"/>
    <n v="743993.58798644959"/>
    <n v="4.0695998415245897E-2"/>
    <n v="600.04736185073853"/>
    <n v="11"/>
    <s v="lefo_mip_v1"/>
    <s v="3"/>
    <s v="3"/>
    <s v="1"/>
    <s v="L"/>
    <s v="B"/>
    <x v="1"/>
    <x v="0"/>
    <x v="0"/>
    <x v="1"/>
    <x v="1"/>
    <x v="0"/>
  </r>
  <r>
    <n v="59"/>
    <s v="ed09c2f0-1bf8-43b5-8b7c-ebba160b48fd"/>
    <s v="2025-09-27T02:01:41.846237+00:00"/>
    <s v="ins#1"/>
    <s v="X331HB8"/>
    <n v="40"/>
    <n v="30"/>
    <n v="2477.9499999999998"/>
    <s v="TIME_LIMIT"/>
    <x v="0"/>
    <n v="684690.56235647376"/>
    <n v="658814.10077842465"/>
    <n v="3.7792928661074303E-2"/>
    <n v="600.04493594169617"/>
    <n v="11"/>
    <s v="lefo_mip_v1"/>
    <s v="3"/>
    <s v="3"/>
    <s v="1"/>
    <s v="H"/>
    <s v="B"/>
    <x v="1"/>
    <x v="0"/>
    <x v="0"/>
    <x v="1"/>
    <x v="0"/>
    <x v="0"/>
  </r>
  <r>
    <n v="25"/>
    <s v="966913c9-9b9b-4a6f-9194-63c3463112d7"/>
    <s v="2025-09-27T07:44:13.37676+00:00"/>
    <s v="ins#5"/>
    <s v="X332HB8"/>
    <n v="40"/>
    <n v="30"/>
    <n v="2750.1750000000002"/>
    <s v="TIME_LIMIT"/>
    <x v="0"/>
    <n v="827112.027161201"/>
    <n v="798013.62906967627"/>
    <n v="3.51807217595368E-2"/>
    <n v="600.05255508422852"/>
    <n v="11"/>
    <s v="lefo_mip_v1"/>
    <s v="3"/>
    <s v="3"/>
    <s v="2"/>
    <s v="H"/>
    <s v="B"/>
    <x v="1"/>
    <x v="0"/>
    <x v="0"/>
    <x v="0"/>
    <x v="0"/>
    <x v="0"/>
  </r>
  <r>
    <n v="30"/>
    <s v="8b01b040-08d7-4c78-8f83-9c04bf6bae61"/>
    <s v="2025-09-27T06:53:47.438598+00:00"/>
    <s v="ins#2"/>
    <s v="X332HB12"/>
    <n v="40"/>
    <n v="30"/>
    <n v="2700.375"/>
    <s v="TIME_LIMIT"/>
    <x v="1"/>
    <n v="1315537.7914807759"/>
    <n v="1272755.250283194"/>
    <n v="3.2520951868228801E-2"/>
    <n v="600.04959893226624"/>
    <n v="11"/>
    <s v="lefo_mip_no_shelf_v1"/>
    <s v="3"/>
    <s v="3"/>
    <s v="2"/>
    <s v="H"/>
    <s v="B"/>
    <x v="0"/>
    <x v="0"/>
    <x v="0"/>
    <x v="0"/>
    <x v="0"/>
    <x v="0"/>
  </r>
  <r>
    <n v="28"/>
    <s v="0cdc18eb-0f93-4d7b-9615-9d6115f41020"/>
    <s v="2025-09-27T07:13:57.137352+00:00"/>
    <s v="ins#5"/>
    <s v="X332HB12"/>
    <n v="40"/>
    <n v="30"/>
    <n v="2691.2750000000001"/>
    <s v="TIME_LIMIT"/>
    <x v="1"/>
    <n v="1404181.8915224411"/>
    <n v="1361396.479255317"/>
    <n v="3.0469992901514701E-2"/>
    <n v="600.04653596878052"/>
    <n v="11"/>
    <s v="lefo_mip_no_shelf_v1"/>
    <s v="3"/>
    <s v="3"/>
    <s v="2"/>
    <s v="H"/>
    <s v="B"/>
    <x v="0"/>
    <x v="0"/>
    <x v="0"/>
    <x v="0"/>
    <x v="0"/>
    <x v="0"/>
  </r>
  <r>
    <n v="10"/>
    <s v="5fe40877-672f-40e3-b2a2-508c3743ccc8"/>
    <s v="2025-09-27T10:15:17.533499+00:00"/>
    <s v="ins#2"/>
    <s v="X331LB12"/>
    <n v="40"/>
    <n v="30"/>
    <n v="2876.9"/>
    <s v="TIME_LIMIT"/>
    <x v="1"/>
    <n v="1073242.154917402"/>
    <n v="1041102.175333704"/>
    <n v="2.99466242883203E-2"/>
    <n v="600.04220509529114"/>
    <n v="11"/>
    <s v="lefo_mip_no_shelf_v1"/>
    <s v="3"/>
    <s v="3"/>
    <s v="1"/>
    <s v="L"/>
    <s v="B"/>
    <x v="0"/>
    <x v="0"/>
    <x v="0"/>
    <x v="1"/>
    <x v="1"/>
    <x v="0"/>
  </r>
  <r>
    <n v="49"/>
    <s v="4a419311-76f8-4940-9649-4c72ea800f93"/>
    <s v="2025-09-27T03:42:25.333346+00:00"/>
    <s v="ins#2"/>
    <s v="X331LB8"/>
    <n v="40"/>
    <n v="30"/>
    <n v="2862.65"/>
    <s v="TIME_LIMIT"/>
    <x v="0"/>
    <n v="765661.3214976365"/>
    <n v="743276.04709494091"/>
    <n v="2.9236522433848298E-2"/>
    <n v="600.05037498474121"/>
    <n v="11"/>
    <s v="lefo_mip_v1"/>
    <s v="3"/>
    <s v="3"/>
    <s v="1"/>
    <s v="L"/>
    <s v="B"/>
    <x v="1"/>
    <x v="0"/>
    <x v="0"/>
    <x v="1"/>
    <x v="1"/>
    <x v="0"/>
  </r>
  <r>
    <n v="0"/>
    <s v="dc5d5539-3a44-421a-8159-3349d8db85c5"/>
    <s v="2025-09-27T11:55:59.840176+00:00"/>
    <s v="ins#4"/>
    <s v="X331HB12"/>
    <n v="40"/>
    <n v="30"/>
    <n v="2908.9"/>
    <s v="TIME_LIMIT"/>
    <x v="1"/>
    <n v="1123761.4321893351"/>
    <n v="1091074.0043062291"/>
    <n v="2.9087515327362E-2"/>
    <n v="600.02987694740295"/>
    <n v="11"/>
    <s v="lefo_mip_no_shelf_v1"/>
    <s v="3"/>
    <s v="3"/>
    <s v="1"/>
    <s v="H"/>
    <s v="B"/>
    <x v="0"/>
    <x v="0"/>
    <x v="0"/>
    <x v="1"/>
    <x v="0"/>
    <x v="0"/>
  </r>
  <r>
    <n v="4"/>
    <s v="a44d13e4-8a9f-4a78-b673-3e4b860afbf0"/>
    <s v="2025-09-27T11:15:42.44172+00:00"/>
    <s v="ins#3"/>
    <s v="X332HB12"/>
    <n v="40"/>
    <n v="30"/>
    <n v="2686.125"/>
    <s v="TIME_LIMIT"/>
    <x v="1"/>
    <n v="1351439.528453636"/>
    <n v="1312194.7565372961"/>
    <n v="2.9039236377261399E-2"/>
    <n v="600.03681397438049"/>
    <n v="11"/>
    <s v="lefo_mip_no_shelf_v1"/>
    <s v="3"/>
    <s v="3"/>
    <s v="2"/>
    <s v="H"/>
    <s v="B"/>
    <x v="0"/>
    <x v="0"/>
    <x v="0"/>
    <x v="0"/>
    <x v="0"/>
    <x v="0"/>
  </r>
  <r>
    <n v="37"/>
    <s v="43e10c37-52e5-4d52-93c6-bcd60c46a360"/>
    <s v="2025-09-27T05:43:19.25775+00:00"/>
    <s v="ins#2"/>
    <s v="X332LB12"/>
    <n v="40"/>
    <n v="30"/>
    <n v="2608.0749999999998"/>
    <s v="TIME_LIMIT"/>
    <x v="0"/>
    <n v="1683435.5218786481"/>
    <n v="1634686.0480068631"/>
    <n v="2.89583255421525E-2"/>
    <n v="600.13743495941162"/>
    <n v="11"/>
    <s v="lefo_mip_v1"/>
    <s v="3"/>
    <s v="3"/>
    <s v="2"/>
    <s v="L"/>
    <s v="B"/>
    <x v="0"/>
    <x v="0"/>
    <x v="0"/>
    <x v="0"/>
    <x v="1"/>
    <x v="0"/>
  </r>
  <r>
    <n v="66"/>
    <s v="7c7beea4-9f3a-4add-bf64-c8961cd87f04"/>
    <s v="2025-09-27T00:51:09.272032+00:00"/>
    <s v="ins#3"/>
    <s v="X331LB12"/>
    <n v="40"/>
    <n v="30"/>
    <n v="2839"/>
    <s v="TIME_LIMIT"/>
    <x v="1"/>
    <n v="1095785.692421095"/>
    <n v="1065099.3090087229"/>
    <n v="2.8004000804730301E-2"/>
    <n v="600.04105710983276"/>
    <n v="11"/>
    <s v="lefo_mip_no_shelf_v1"/>
    <s v="3"/>
    <s v="3"/>
    <s v="1"/>
    <s v="L"/>
    <s v="B"/>
    <x v="0"/>
    <x v="0"/>
    <x v="0"/>
    <x v="1"/>
    <x v="1"/>
    <x v="0"/>
  </r>
  <r>
    <n v="22"/>
    <s v="80501c20-9bb6-467e-b853-02feacfd27cf"/>
    <s v="2025-09-27T08:14:23.861727+00:00"/>
    <s v="ins#1"/>
    <s v="X332LB12"/>
    <n v="40"/>
    <n v="30"/>
    <n v="2270.9"/>
    <s v="TIME_LIMIT"/>
    <x v="1"/>
    <n v="1124918.394662621"/>
    <n v="1093419.4170948879"/>
    <n v="2.8001122318904399E-2"/>
    <n v="600.11290502548218"/>
    <n v="11"/>
    <s v="lefo_mip_no_shelf_v1"/>
    <s v="3"/>
    <s v="3"/>
    <s v="2"/>
    <s v="L"/>
    <s v="B"/>
    <x v="0"/>
    <x v="0"/>
    <x v="0"/>
    <x v="0"/>
    <x v="1"/>
    <x v="0"/>
  </r>
  <r>
    <n v="44"/>
    <s v="1a402b43-1c28-45d3-b805-f23c221c9ff3"/>
    <s v="2025-09-27T04:32:45.339812+00:00"/>
    <s v="ins#4"/>
    <s v="X331LB12"/>
    <n v="40"/>
    <n v="30"/>
    <n v="2884.45"/>
    <s v="TIME_LIMIT"/>
    <x v="1"/>
    <n v="1099296.7529525589"/>
    <n v="1069635.7598102919"/>
    <n v="2.6981789096166602E-2"/>
    <n v="600.03379607200623"/>
    <n v="11"/>
    <s v="lefo_mip_no_shelf_v1"/>
    <s v="3"/>
    <s v="3"/>
    <s v="1"/>
    <s v="L"/>
    <s v="B"/>
    <x v="0"/>
    <x v="0"/>
    <x v="0"/>
    <x v="1"/>
    <x v="1"/>
    <x v="0"/>
  </r>
  <r>
    <n v="2"/>
    <s v="e00c86bb-a7b1-45f2-a18b-663b64f1ceaa"/>
    <s v="2025-09-27T11:35:50.318806+00:00"/>
    <s v="ins#5"/>
    <s v="X331HB12"/>
    <n v="40"/>
    <n v="30"/>
    <n v="2962.7249999999999"/>
    <s v="TIME_LIMIT"/>
    <x v="1"/>
    <n v="1106092.935223625"/>
    <n v="1076426.864861377"/>
    <n v="2.68205947416617E-2"/>
    <n v="600.04512214660645"/>
    <n v="11"/>
    <s v="lefo_mip_no_shelf_v1"/>
    <s v="3"/>
    <s v="3"/>
    <s v="1"/>
    <s v="H"/>
    <s v="B"/>
    <x v="0"/>
    <x v="0"/>
    <x v="0"/>
    <x v="1"/>
    <x v="0"/>
    <x v="0"/>
  </r>
  <r>
    <n v="35"/>
    <s v="4991b1dd-e465-426e-ba44-ec746c80f2dc"/>
    <s v="2025-09-27T06:03:27.620395+00:00"/>
    <s v="ins#5"/>
    <s v="X332LB8"/>
    <n v="40"/>
    <n v="30"/>
    <n v="2639.9250000000002"/>
    <s v="TIME_LIMIT"/>
    <x v="0"/>
    <n v="848182.46947023587"/>
    <n v="825750.40503655572"/>
    <n v="2.6447215358849498E-2"/>
    <n v="600.19772291183472"/>
    <n v="11"/>
    <s v="lefo_mip_v1"/>
    <s v="3"/>
    <s v="3"/>
    <s v="2"/>
    <s v="L"/>
    <s v="B"/>
    <x v="1"/>
    <x v="0"/>
    <x v="0"/>
    <x v="0"/>
    <x v="1"/>
    <x v="0"/>
  </r>
  <r>
    <n v="41"/>
    <s v="78962478-e4db-4429-9cec-7e0e004159ef"/>
    <s v="2025-09-27T05:03:01.765865+00:00"/>
    <s v="ins#4"/>
    <s v="X332LB8"/>
    <n v="40"/>
    <n v="30"/>
    <n v="2625.9749999999999"/>
    <s v="TIME_LIMIT"/>
    <x v="0"/>
    <n v="880391.9572332924"/>
    <n v="857794.53218788118"/>
    <n v="2.5667459657884101E-2"/>
    <n v="600.14529514312744"/>
    <n v="11"/>
    <s v="lefo_mip_v1"/>
    <s v="3"/>
    <s v="3"/>
    <s v="2"/>
    <s v="L"/>
    <s v="B"/>
    <x v="1"/>
    <x v="0"/>
    <x v="0"/>
    <x v="0"/>
    <x v="1"/>
    <x v="0"/>
  </r>
  <r>
    <n v="12"/>
    <s v="e75e20cb-d1a5-428e-ab3c-a1ece1b54d7b"/>
    <s v="2025-09-27T09:55:08.446765+00:00"/>
    <s v="ins#3"/>
    <s v="X332LB12"/>
    <n v="40"/>
    <n v="30"/>
    <n v="2640.9250000000002"/>
    <s v="TIME_LIMIT"/>
    <x v="1"/>
    <n v="1389083.095256187"/>
    <n v="1353594.7209033831"/>
    <n v="2.5548057185347101E-2"/>
    <n v="600.06241393089294"/>
    <n v="11"/>
    <s v="lefo_mip_no_shelf_v1"/>
    <s v="3"/>
    <s v="3"/>
    <s v="2"/>
    <s v="L"/>
    <s v="B"/>
    <x v="0"/>
    <x v="0"/>
    <x v="0"/>
    <x v="0"/>
    <x v="1"/>
    <x v="0"/>
  </r>
  <r>
    <n v="20"/>
    <s v="45398075-3143-4dae-9134-4b98e594aba0"/>
    <s v="2025-09-27T08:34:32.279824+00:00"/>
    <s v="ins#1"/>
    <s v="X331HB12"/>
    <n v="40"/>
    <n v="30"/>
    <n v="2508.25"/>
    <s v="TIME_LIMIT"/>
    <x v="1"/>
    <n v="958211.71298641921"/>
    <n v="934084.50883091276"/>
    <n v="2.5179408504943199E-2"/>
    <n v="600.03800106048584"/>
    <n v="11"/>
    <s v="lefo_mip_no_shelf_v1"/>
    <s v="3"/>
    <s v="3"/>
    <s v="1"/>
    <s v="H"/>
    <s v="B"/>
    <x v="0"/>
    <x v="0"/>
    <x v="0"/>
    <x v="1"/>
    <x v="0"/>
    <x v="0"/>
  </r>
  <r>
    <n v="72"/>
    <s v="2b42afb1-0b88-4529-b576-c032e1ae4cf8"/>
    <s v="2025-09-26T23:50:43.811286+00:00"/>
    <s v="ins#5"/>
    <s v="X331LB12"/>
    <n v="40"/>
    <n v="30"/>
    <n v="2860.2750000000001"/>
    <s v="TIME_LIMIT"/>
    <x v="1"/>
    <n v="1078288.601684619"/>
    <n v="1052031.3922126291"/>
    <n v="2.4350817982279799E-2"/>
    <n v="600.04337215423584"/>
    <n v="11"/>
    <s v="lefo_mip_no_shelf_v1"/>
    <s v="3"/>
    <s v="3"/>
    <s v="1"/>
    <s v="L"/>
    <s v="B"/>
    <x v="0"/>
    <x v="0"/>
    <x v="0"/>
    <x v="1"/>
    <x v="1"/>
    <x v="0"/>
  </r>
  <r>
    <n v="74"/>
    <s v="374b7ebe-7460-4497-9413-5084ca0ad5d3"/>
    <s v="2025-09-26T23:30:35.212768+00:00"/>
    <s v="ins#5"/>
    <s v="X332LB12"/>
    <n v="40"/>
    <n v="30"/>
    <n v="2638.1"/>
    <s v="TIME_LIMIT"/>
    <x v="1"/>
    <n v="1310432.4289930339"/>
    <n v="1280075.1048903789"/>
    <n v="2.31658828269246E-2"/>
    <n v="600.05544209480286"/>
    <n v="11"/>
    <s v="lefo_mip_no_shelf_v1"/>
    <s v="3"/>
    <s v="3"/>
    <s v="2"/>
    <s v="L"/>
    <s v="B"/>
    <x v="0"/>
    <x v="0"/>
    <x v="0"/>
    <x v="0"/>
    <x v="1"/>
    <x v="0"/>
  </r>
  <r>
    <n v="8"/>
    <s v="84ec657c-5a4d-472d-8256-940efb7185e7"/>
    <s v="2025-09-27T10:35:25.808829+00:00"/>
    <s v="ins#4"/>
    <s v="X332HB12"/>
    <n v="40"/>
    <n v="30"/>
    <n v="2711.875"/>
    <s v="TIME_LIMIT"/>
    <x v="1"/>
    <n v="1284249.273162609"/>
    <n v="1255094.1641006051"/>
    <n v="2.27020638993288E-2"/>
    <n v="600.03699898719788"/>
    <n v="11"/>
    <s v="lefo_mip_no_shelf_v1"/>
    <s v="3"/>
    <s v="3"/>
    <s v="2"/>
    <s v="H"/>
    <s v="B"/>
    <x v="0"/>
    <x v="0"/>
    <x v="0"/>
    <x v="0"/>
    <x v="0"/>
    <x v="0"/>
  </r>
  <r>
    <n v="33"/>
    <s v="08ce41a6-c072-4db6-abd7-7e5460cb3e97"/>
    <s v="2025-09-27T06:23:36.173145+00:00"/>
    <s v="ins#3"/>
    <s v="X331HB8"/>
    <n v="40"/>
    <n v="30"/>
    <n v="2943"/>
    <s v="TIME_LIMIT"/>
    <x v="0"/>
    <n v="788700.13703208615"/>
    <n v="771094.67187764659"/>
    <n v="2.2322127672869001E-2"/>
    <n v="600.06272006034851"/>
    <n v="11"/>
    <s v="lefo_mip_v1"/>
    <s v="3"/>
    <s v="3"/>
    <s v="1"/>
    <s v="H"/>
    <s v="B"/>
    <x v="1"/>
    <x v="0"/>
    <x v="0"/>
    <x v="1"/>
    <x v="0"/>
    <x v="0"/>
  </r>
  <r>
    <n v="18"/>
    <s v="e7579a1a-479e-4b03-9eab-b13c5a42b546"/>
    <s v="2025-09-27T08:54:40.691958+00:00"/>
    <s v="ins#4"/>
    <s v="X332LB12"/>
    <n v="40"/>
    <n v="30"/>
    <n v="2633.5749999999998"/>
    <s v="TIME_LIMIT"/>
    <x v="1"/>
    <n v="1375953.523565335"/>
    <n v="1345386.6711709381"/>
    <n v="2.22150326089448E-2"/>
    <n v="600.05148005485535"/>
    <n v="11"/>
    <s v="lefo_mip_no_shelf_v1"/>
    <s v="3"/>
    <s v="3"/>
    <s v="2"/>
    <s v="L"/>
    <s v="B"/>
    <x v="0"/>
    <x v="0"/>
    <x v="0"/>
    <x v="0"/>
    <x v="1"/>
    <x v="0"/>
  </r>
  <r>
    <n v="64"/>
    <s v="43efd105-2b3d-47a5-bd6e-d43672b78536"/>
    <s v="2025-09-27T01:11:18.130345+00:00"/>
    <s v="ins#2"/>
    <s v="X331HB12"/>
    <n v="40"/>
    <n v="30"/>
    <n v="2989.625"/>
    <s v="TIME_LIMIT"/>
    <x v="1"/>
    <n v="1087565.67055685"/>
    <n v="1063708.460019879"/>
    <n v="2.19363401979723E-2"/>
    <n v="600.03661298751831"/>
    <n v="11"/>
    <s v="lefo_mip_no_shelf_v1"/>
    <s v="3"/>
    <s v="3"/>
    <s v="1"/>
    <s v="H"/>
    <s v="B"/>
    <x v="0"/>
    <x v="0"/>
    <x v="0"/>
    <x v="1"/>
    <x v="0"/>
    <x v="0"/>
  </r>
  <r>
    <n v="38"/>
    <s v="eaa8e491-3d71-4532-a27c-82ef7cc9855f"/>
    <s v="2025-09-27T05:33:11.833105+00:00"/>
    <s v="ins#1"/>
    <s v="X331LB12"/>
    <n v="40"/>
    <n v="30"/>
    <n v="2403.625"/>
    <s v="TIME_LIMIT"/>
    <x v="1"/>
    <n v="914701.62520244077"/>
    <n v="895108.30860930111"/>
    <n v="2.1420445808001499E-2"/>
    <n v="600.03706693649292"/>
    <n v="11"/>
    <s v="lefo_mip_no_shelf_v1"/>
    <s v="3"/>
    <s v="3"/>
    <s v="1"/>
    <s v="L"/>
    <s v="B"/>
    <x v="0"/>
    <x v="0"/>
    <x v="0"/>
    <x v="1"/>
    <x v="1"/>
    <x v="0"/>
  </r>
  <r>
    <n v="76"/>
    <s v="b2c972bd-183e-4055-a787-26b827867e9a"/>
    <s v="2025-09-26T23:10:26.55809+00:00"/>
    <s v="ins#2"/>
    <s v="X332LB8"/>
    <n v="40"/>
    <n v="30"/>
    <n v="2721.5"/>
    <s v="TIME_LIMIT"/>
    <x v="1"/>
    <n v="773745.88926424447"/>
    <n v="757454.44947343727"/>
    <n v="2.1055284450426901E-2"/>
    <n v="600.02939796447754"/>
    <n v="11"/>
    <s v="lefo_mip_no_shelf_v1"/>
    <s v="3"/>
    <s v="3"/>
    <s v="2"/>
    <s v="L"/>
    <s v="B"/>
    <x v="1"/>
    <x v="0"/>
    <x v="0"/>
    <x v="0"/>
    <x v="1"/>
    <x v="0"/>
  </r>
  <r>
    <n v="36"/>
    <s v="b2970dda-45b5-4222-a56d-a40bee9643ee"/>
    <s v="2025-09-27T05:53:20.337235+00:00"/>
    <s v="ins#2"/>
    <s v="X332LB12"/>
    <n v="40"/>
    <n v="30"/>
    <n v="2608.0749999999998"/>
    <s v="TIME_LIMIT"/>
    <x v="1"/>
    <n v="1631318.856124019"/>
    <n v="1597174.2545313039"/>
    <n v="2.0930673034603199E-2"/>
    <n v="600.05516600608826"/>
    <n v="11"/>
    <s v="lefo_mip_no_shelf_v1"/>
    <s v="3"/>
    <s v="3"/>
    <s v="2"/>
    <s v="L"/>
    <s v="B"/>
    <x v="0"/>
    <x v="0"/>
    <x v="0"/>
    <x v="0"/>
    <x v="1"/>
    <x v="0"/>
  </r>
  <r>
    <n v="79"/>
    <s v="a8963747-c6f3-4d82-8ec4-552cd4f25565"/>
    <s v="2025-09-26T22:40:15.891875+00:00"/>
    <s v="ins#3"/>
    <s v="X331LB8"/>
    <n v="40"/>
    <n v="30"/>
    <n v="2818"/>
    <s v="TIME_LIMIT"/>
    <x v="0"/>
    <n v="767052.17422776786"/>
    <n v="751181.24557955645"/>
    <n v="2.0690807198596999E-2"/>
    <n v="600.18164706230164"/>
    <n v="11"/>
    <s v="lefo_mip_v1"/>
    <s v="3"/>
    <s v="3"/>
    <s v="1"/>
    <s v="L"/>
    <s v="B"/>
    <x v="1"/>
    <x v="0"/>
    <x v="0"/>
    <x v="1"/>
    <x v="1"/>
    <x v="0"/>
  </r>
  <r>
    <n v="17"/>
    <s v="17a76c00-1686-467f-b133-47ee9bd00fe1"/>
    <s v="2025-09-27T09:04:48.485104+00:00"/>
    <s v="ins#2"/>
    <s v="X331HB8"/>
    <n v="40"/>
    <n v="30"/>
    <n v="2961.875"/>
    <s v="TIME_LIMIT"/>
    <x v="0"/>
    <n v="789807.91962214117"/>
    <n v="773712.77829885785"/>
    <n v="2.0378551447019499E-2"/>
    <n v="600.04081416130066"/>
    <n v="11"/>
    <s v="lefo_mip_v1"/>
    <s v="3"/>
    <s v="3"/>
    <s v="1"/>
    <s v="H"/>
    <s v="B"/>
    <x v="1"/>
    <x v="0"/>
    <x v="0"/>
    <x v="1"/>
    <x v="0"/>
    <x v="0"/>
  </r>
  <r>
    <n v="70"/>
    <s v="83778427-8ccc-4fe7-a484-7cf7a75df083"/>
    <s v="2025-09-27T00:10:51.691774+00:00"/>
    <s v="ins#3"/>
    <s v="X332LB8"/>
    <n v="40"/>
    <n v="30"/>
    <n v="2647.85"/>
    <s v="TIME_LIMIT"/>
    <x v="1"/>
    <n v="824882.41074805125"/>
    <n v="808509.82848415396"/>
    <n v="1.9848383297505E-2"/>
    <n v="600.051265001297"/>
    <n v="11"/>
    <s v="lefo_mip_no_shelf_v1"/>
    <s v="3"/>
    <s v="3"/>
    <s v="2"/>
    <s v="L"/>
    <s v="B"/>
    <x v="1"/>
    <x v="0"/>
    <x v="0"/>
    <x v="0"/>
    <x v="1"/>
    <x v="0"/>
  </r>
  <r>
    <n v="54"/>
    <s v="030bbe34-9dd7-4d29-998e-b574293ea19a"/>
    <s v="2025-09-27T02:52:00.827184+00:00"/>
    <s v="ins#3"/>
    <s v="X332HB8"/>
    <n v="40"/>
    <n v="30"/>
    <n v="2713.6"/>
    <s v="TIME_LIMIT"/>
    <x v="1"/>
    <n v="823012.61797953467"/>
    <n v="806770.33070263197"/>
    <n v="1.97351619186312E-2"/>
    <n v="600.0335488319397"/>
    <n v="11"/>
    <s v="lefo_mip_no_shelf_v1"/>
    <s v="3"/>
    <s v="3"/>
    <s v="2"/>
    <s v="H"/>
    <s v="B"/>
    <x v="1"/>
    <x v="0"/>
    <x v="0"/>
    <x v="0"/>
    <x v="0"/>
    <x v="0"/>
  </r>
  <r>
    <n v="26"/>
    <s v="326f9938-880f-4e42-a30d-55f7ddaf28db"/>
    <s v="2025-09-27T07:34:06.203077+00:00"/>
    <s v="ins#4"/>
    <s v="X332HB8"/>
    <n v="40"/>
    <n v="30"/>
    <n v="2709.7"/>
    <s v="TIME_LIMIT"/>
    <x v="1"/>
    <n v="817430.4189742225"/>
    <n v="801704.10146496026"/>
    <n v="1.9238723130706199E-2"/>
    <n v="600.03550100326538"/>
    <n v="11"/>
    <s v="lefo_mip_no_shelf_v1"/>
    <s v="3"/>
    <s v="3"/>
    <s v="2"/>
    <s v="H"/>
    <s v="B"/>
    <x v="1"/>
    <x v="0"/>
    <x v="0"/>
    <x v="0"/>
    <x v="0"/>
    <x v="0"/>
  </r>
  <r>
    <n v="34"/>
    <s v="21390385-d2ce-4ac4-8597-4e51a3a88c3e"/>
    <s v="2025-09-27T06:13:28.799197+00:00"/>
    <s v="ins#5"/>
    <s v="X332LB8"/>
    <n v="40"/>
    <n v="30"/>
    <n v="2639.9250000000002"/>
    <s v="TIME_LIMIT"/>
    <x v="1"/>
    <n v="830206.93432919635"/>
    <n v="814249.54299055133"/>
    <n v="1.9220980551720501E-2"/>
    <n v="600.05988001823425"/>
    <n v="11"/>
    <s v="lefo_mip_no_shelf_v1"/>
    <s v="3"/>
    <s v="3"/>
    <s v="2"/>
    <s v="L"/>
    <s v="B"/>
    <x v="1"/>
    <x v="0"/>
    <x v="0"/>
    <x v="0"/>
    <x v="1"/>
    <x v="0"/>
  </r>
  <r>
    <n v="42"/>
    <s v="2f2993e5-0f28-4333-aae2-892133a030be"/>
    <s v="2025-09-27T04:52:53.816217+00:00"/>
    <s v="ins#1"/>
    <s v="X332HB12"/>
    <n v="40"/>
    <n v="30"/>
    <n v="2333.4"/>
    <s v="TIME_LIMIT"/>
    <x v="1"/>
    <n v="1220021.5441680979"/>
    <n v="1196602.3508355501"/>
    <n v="1.9195721128446499E-2"/>
    <n v="600.04007697105408"/>
    <n v="11"/>
    <s v="lefo_mip_no_shelf_v1"/>
    <s v="3"/>
    <s v="3"/>
    <s v="2"/>
    <s v="H"/>
    <s v="B"/>
    <x v="0"/>
    <x v="0"/>
    <x v="0"/>
    <x v="0"/>
    <x v="0"/>
    <x v="0"/>
  </r>
  <r>
    <n v="62"/>
    <s v="81710878-a82d-4c00-8f40-33dd7151f5e3"/>
    <s v="2025-09-27T01:31:26.548653+00:00"/>
    <s v="ins#3"/>
    <s v="X331HB12"/>
    <n v="40"/>
    <n v="30"/>
    <n v="2976.5"/>
    <s v="TIME_LIMIT"/>
    <x v="1"/>
    <n v="1085183.475976391"/>
    <n v="1065626.1735674201"/>
    <n v="1.8022115929635499E-2"/>
    <n v="600.03851890563965"/>
    <n v="11"/>
    <s v="lefo_mip_no_shelf_v1"/>
    <s v="3"/>
    <s v="3"/>
    <s v="1"/>
    <s v="H"/>
    <s v="B"/>
    <x v="0"/>
    <x v="0"/>
    <x v="0"/>
    <x v="1"/>
    <x v="0"/>
    <x v="0"/>
  </r>
  <r>
    <n v="52"/>
    <s v="23d7d3aa-3ac6-4d96-a3b0-61831de00e70"/>
    <s v="2025-09-27T03:12:09.635248+00:00"/>
    <s v="ins#2"/>
    <s v="X332HB8"/>
    <n v="40"/>
    <n v="30"/>
    <n v="2708.2249999999999"/>
    <s v="TIME_LIMIT"/>
    <x v="1"/>
    <n v="829207.1387087499"/>
    <n v="815411.82123417791"/>
    <n v="1.6636756765087898E-2"/>
    <n v="600.04127597808838"/>
    <n v="11"/>
    <s v="lefo_mip_no_shelf_v1"/>
    <s v="3"/>
    <s v="3"/>
    <s v="2"/>
    <s v="H"/>
    <s v="B"/>
    <x v="1"/>
    <x v="0"/>
    <x v="0"/>
    <x v="0"/>
    <x v="0"/>
    <x v="0"/>
  </r>
  <r>
    <n v="14"/>
    <s v="319e4a33-451a-405f-a39d-23adcf8ffe07"/>
    <s v="2025-09-27T09:34:58.681949+00:00"/>
    <s v="ins#1"/>
    <s v="X332HB8"/>
    <n v="40"/>
    <n v="30"/>
    <n v="2322.4749999999999"/>
    <s v="TIME_LIMIT"/>
    <x v="1"/>
    <n v="776125.73349596618"/>
    <n v="763314.35667937074"/>
    <n v="1.65068316429711E-2"/>
    <n v="600.0590980052948"/>
    <n v="11"/>
    <s v="lefo_mip_no_shelf_v1"/>
    <s v="3"/>
    <s v="3"/>
    <s v="2"/>
    <s v="H"/>
    <s v="B"/>
    <x v="1"/>
    <x v="0"/>
    <x v="0"/>
    <x v="0"/>
    <x v="0"/>
    <x v="0"/>
  </r>
  <r>
    <n v="68"/>
    <s v="5bf723e8-56a0-4532-b4ac-91d31b8db0e0"/>
    <s v="2025-09-27T00:31:00.732462+00:00"/>
    <s v="ins#1"/>
    <s v="X332LB8"/>
    <n v="40"/>
    <n v="30"/>
    <n v="2267.3000000000002"/>
    <s v="TIME_LIMIT"/>
    <x v="1"/>
    <n v="666994.06704253319"/>
    <n v="656112.03142035834"/>
    <n v="1.6315041107375999E-2"/>
    <n v="600.06698703765869"/>
    <n v="11"/>
    <s v="lefo_mip_no_shelf_v1"/>
    <s v="3"/>
    <s v="3"/>
    <s v="2"/>
    <s v="L"/>
    <s v="B"/>
    <x v="1"/>
    <x v="0"/>
    <x v="0"/>
    <x v="0"/>
    <x v="1"/>
    <x v="0"/>
  </r>
  <r>
    <n v="24"/>
    <s v="8d177015-1f4e-42c2-a2ce-14af652f28d1"/>
    <s v="2025-09-27T07:54:14.54613+00:00"/>
    <s v="ins#5"/>
    <s v="X332HB8"/>
    <n v="40"/>
    <n v="30"/>
    <n v="2750.1750000000002"/>
    <s v="TIME_LIMIT"/>
    <x v="1"/>
    <n v="801068.72611726657"/>
    <n v="789246.67512208573"/>
    <n v="1.47578486211559E-2"/>
    <n v="600.03301620483398"/>
    <n v="11"/>
    <s v="lefo_mip_no_shelf_v1"/>
    <s v="3"/>
    <s v="3"/>
    <s v="2"/>
    <s v="H"/>
    <s v="B"/>
    <x v="1"/>
    <x v="0"/>
    <x v="0"/>
    <x v="0"/>
    <x v="0"/>
    <x v="0"/>
  </r>
  <r>
    <n v="40"/>
    <s v="456e4b97-761a-4ce5-aed9-c5e80dbbc08d"/>
    <s v="2025-09-27T05:13:03.233455+00:00"/>
    <s v="ins#4"/>
    <s v="X332LB8"/>
    <n v="40"/>
    <n v="30"/>
    <n v="2625.9749999999999"/>
    <s v="TIME_LIMIT"/>
    <x v="1"/>
    <n v="858832.46048498037"/>
    <n v="846681.28879549808"/>
    <n v="1.41484774371715E-2"/>
    <n v="600.0425238609314"/>
    <n v="11"/>
    <s v="lefo_mip_no_shelf_v1"/>
    <s v="3"/>
    <s v="3"/>
    <s v="2"/>
    <s v="L"/>
    <s v="B"/>
    <x v="1"/>
    <x v="0"/>
    <x v="0"/>
    <x v="0"/>
    <x v="1"/>
    <x v="0"/>
  </r>
  <r>
    <n v="51"/>
    <s v="a56140b5-e27b-4be6-95fc-9e321c0ae73d"/>
    <s v="2025-09-27T03:22:16.497052+00:00"/>
    <s v="ins#5"/>
    <s v="X331HB8"/>
    <n v="40"/>
    <n v="30"/>
    <n v="2957.4"/>
    <s v="TIME_LIMIT"/>
    <x v="0"/>
    <n v="773187.20575812017"/>
    <n v="762690.06042323005"/>
    <n v="1.35764602113372E-2"/>
    <n v="600.04900097846985"/>
    <n v="11"/>
    <s v="lefo_mip_v1"/>
    <s v="3"/>
    <s v="3"/>
    <s v="1"/>
    <s v="H"/>
    <s v="B"/>
    <x v="1"/>
    <x v="0"/>
    <x v="0"/>
    <x v="1"/>
    <x v="0"/>
    <x v="0"/>
  </r>
  <r>
    <n v="58"/>
    <s v="2750b10a-e21f-4fae-9af9-1f24a54ef36f"/>
    <s v="2025-09-27T02:11:43.024835+00:00"/>
    <s v="ins#1"/>
    <s v="X331HB8"/>
    <n v="40"/>
    <n v="30"/>
    <n v="2477.9499999999998"/>
    <s v="TIME_LIMIT"/>
    <x v="1"/>
    <n v="656929.87683622155"/>
    <n v="649198.33132596873"/>
    <n v="1.1769209748060099E-2"/>
    <n v="600.05058097839355"/>
    <n v="11"/>
    <s v="lefo_mip_no_shelf_v1"/>
    <s v="3"/>
    <s v="3"/>
    <s v="1"/>
    <s v="H"/>
    <s v="B"/>
    <x v="1"/>
    <x v="0"/>
    <x v="0"/>
    <x v="1"/>
    <x v="0"/>
    <x v="0"/>
  </r>
  <r>
    <n v="78"/>
    <s v="8bdcc072-74ab-48e9-b0cc-432b9054f764"/>
    <s v="2025-09-26T22:50:17.427949+00:00"/>
    <s v="ins#3"/>
    <s v="X331LB8"/>
    <n v="40"/>
    <n v="30"/>
    <n v="2818"/>
    <s v="TIME_LIMIT"/>
    <x v="1"/>
    <n v="742251.82863333181"/>
    <n v="734432.18254056701"/>
    <n v="1.0535031092025301E-2"/>
    <n v="600.05273509025574"/>
    <n v="11"/>
    <s v="lefo_mip_no_shelf_v1"/>
    <s v="3"/>
    <s v="3"/>
    <s v="1"/>
    <s v="L"/>
    <s v="B"/>
    <x v="1"/>
    <x v="0"/>
    <x v="0"/>
    <x v="1"/>
    <x v="1"/>
    <x v="0"/>
  </r>
  <r>
    <n v="7"/>
    <s v="67940d6d-6e02-4ecb-bd36-64f017c0d59d"/>
    <s v="2025-09-27T10:45:33.012994+00:00"/>
    <s v="ins#4"/>
    <s v="X331HB8"/>
    <n v="40"/>
    <n v="30"/>
    <n v="2947.4250000000002"/>
    <s v="TIME_LIMIT"/>
    <x v="0"/>
    <n v="773895.82433675288"/>
    <n v="766795.89124777529"/>
    <n v="9.1742749679033005E-3"/>
    <n v="600.13025999069214"/>
    <n v="11"/>
    <s v="lefo_mip_v1"/>
    <s v="3"/>
    <s v="3"/>
    <s v="1"/>
    <s v="H"/>
    <s v="B"/>
    <x v="1"/>
    <x v="0"/>
    <x v="0"/>
    <x v="1"/>
    <x v="0"/>
    <x v="0"/>
  </r>
  <r>
    <n v="56"/>
    <s v="49a7b42c-9d89-4c20-b7e7-3ad23ce1c807"/>
    <s v="2025-09-27T02:31:51.991695+00:00"/>
    <s v="ins#1"/>
    <s v="X331LB8"/>
    <n v="40"/>
    <n v="30"/>
    <n v="2441.2249999999999"/>
    <s v="TIME_LIMIT"/>
    <x v="1"/>
    <n v="622651.34787634958"/>
    <n v="617411.63353998039"/>
    <n v="8.4151658134845996E-3"/>
    <n v="600.08076691627502"/>
    <n v="11"/>
    <s v="lefo_mip_no_shelf_v1"/>
    <s v="3"/>
    <s v="3"/>
    <s v="1"/>
    <s v="L"/>
    <s v="B"/>
    <x v="1"/>
    <x v="0"/>
    <x v="0"/>
    <x v="1"/>
    <x v="1"/>
    <x v="0"/>
  </r>
  <r>
    <n v="48"/>
    <s v="9b5d924d-1850-413e-8287-8c3f5a94abed"/>
    <s v="2025-09-27T03:52:26.840552+00:00"/>
    <s v="ins#2"/>
    <s v="X331LB8"/>
    <n v="40"/>
    <n v="30"/>
    <n v="2862.65"/>
    <s v="TIME_LIMIT"/>
    <x v="1"/>
    <n v="734763.81057161314"/>
    <n v="729304.48540893337"/>
    <n v="7.4300408976764997E-3"/>
    <n v="600.40864300727844"/>
    <n v="11"/>
    <s v="lefo_mip_no_shelf_v1"/>
    <s v="3"/>
    <s v="3"/>
    <s v="1"/>
    <s v="L"/>
    <s v="B"/>
    <x v="1"/>
    <x v="0"/>
    <x v="0"/>
    <x v="1"/>
    <x v="1"/>
    <x v="0"/>
  </r>
  <r>
    <n v="60"/>
    <s v="9df7a4fd-929d-4a28-8de1-c29fa373a5e7"/>
    <s v="2025-09-27T01:51:34.967777+00:00"/>
    <s v="ins#5"/>
    <s v="X331LB8"/>
    <n v="40"/>
    <n v="30"/>
    <n v="2877.0749999999998"/>
    <s v="TIME_LIMIT"/>
    <x v="1"/>
    <n v="742602.60413392389"/>
    <n v="737345.56383220211"/>
    <n v="7.0792107009278E-3"/>
    <n v="600.05250787734985"/>
    <n v="11"/>
    <s v="lefo_mip_no_shelf_v1"/>
    <s v="3"/>
    <s v="3"/>
    <s v="1"/>
    <s v="L"/>
    <s v="B"/>
    <x v="1"/>
    <x v="0"/>
    <x v="0"/>
    <x v="1"/>
    <x v="1"/>
    <x v="0"/>
  </r>
  <r>
    <n v="32"/>
    <s v="71f9dd76-3fb7-4e49-af49-2b3be78c34e1"/>
    <s v="2025-09-27T06:33:38.214718+00:00"/>
    <s v="ins#3"/>
    <s v="X331HB8"/>
    <n v="40"/>
    <n v="30"/>
    <n v="2943"/>
    <s v="TIME_LIMIT"/>
    <x v="1"/>
    <n v="762163.93012322579"/>
    <n v="756960.78807222575"/>
    <n v="6.8268017487507996E-3"/>
    <n v="600.06208205223083"/>
    <n v="11"/>
    <s v="lefo_mip_no_shelf_v1"/>
    <s v="3"/>
    <s v="3"/>
    <s v="1"/>
    <s v="H"/>
    <s v="B"/>
    <x v="1"/>
    <x v="0"/>
    <x v="0"/>
    <x v="1"/>
    <x v="0"/>
    <x v="0"/>
  </r>
  <r>
    <n v="46"/>
    <s v="e2f80597-ac15-4525-9055-c3a6931404c9"/>
    <s v="2025-09-27T04:12:36.750606+00:00"/>
    <s v="ins#4"/>
    <s v="X331LB8"/>
    <n v="40"/>
    <n v="30"/>
    <n v="2874.3249999999998"/>
    <s v="TIME_LIMIT"/>
    <x v="1"/>
    <n v="736958.41331669851"/>
    <n v="732810.17726738902"/>
    <n v="5.6288604273343002E-3"/>
    <n v="600.03727102279663"/>
    <n v="11"/>
    <s v="lefo_mip_no_shelf_v1"/>
    <s v="3"/>
    <s v="3"/>
    <s v="1"/>
    <s v="L"/>
    <s v="B"/>
    <x v="1"/>
    <x v="0"/>
    <x v="0"/>
    <x v="1"/>
    <x v="1"/>
    <x v="0"/>
  </r>
  <r>
    <n v="6"/>
    <s v="ea84745c-f125-4680-ae8c-01e85a81331e"/>
    <s v="2025-09-27T10:55:34.117691+00:00"/>
    <s v="ins#4"/>
    <s v="X331HB8"/>
    <n v="40"/>
    <n v="30"/>
    <n v="2947.4250000000002"/>
    <s v="TIME_LIMIT"/>
    <x v="1"/>
    <n v="755460.24465129559"/>
    <n v="751889.50614864076"/>
    <n v="4.7265736720573E-3"/>
    <n v="600.03876709938049"/>
    <n v="11"/>
    <s v="lefo_mip_no_shelf_v1"/>
    <s v="3"/>
    <s v="3"/>
    <s v="1"/>
    <s v="H"/>
    <s v="B"/>
    <x v="1"/>
    <x v="0"/>
    <x v="0"/>
    <x v="1"/>
    <x v="0"/>
    <x v="0"/>
  </r>
  <r>
    <n v="16"/>
    <s v="be011098-f56d-4dd0-91d0-93fb09940888"/>
    <s v="2025-09-27T09:14:49.913891+00:00"/>
    <s v="ins#2"/>
    <s v="X331HB8"/>
    <n v="40"/>
    <n v="30"/>
    <n v="2961.875"/>
    <s v="TIME_LIMIT"/>
    <x v="1"/>
    <n v="766536.45590099052"/>
    <n v="763353.30457664269"/>
    <n v="4.1526417952376E-3"/>
    <n v="600.04634785652161"/>
    <n v="11"/>
    <s v="lefo_mip_no_shelf_v1"/>
    <s v="3"/>
    <s v="3"/>
    <s v="1"/>
    <s v="H"/>
    <s v="B"/>
    <x v="1"/>
    <x v="0"/>
    <x v="0"/>
    <x v="1"/>
    <x v="0"/>
    <x v="0"/>
  </r>
  <r>
    <n v="50"/>
    <s v="2974882c-49d3-4f8a-ba6e-58b827aec253"/>
    <s v="2025-09-27T03:32:17.89363+00:00"/>
    <s v="ins#5"/>
    <s v="X331HB8"/>
    <n v="40"/>
    <n v="30"/>
    <n v="2957.4"/>
    <s v="TIME_LIMIT"/>
    <x v="1"/>
    <n v="756396.60616065457"/>
    <n v="753429.00586636527"/>
    <n v="3.9233389866095997E-3"/>
    <n v="600.037034034729"/>
    <n v="11"/>
    <s v="lefo_mip_no_shelf_v1"/>
    <s v="3"/>
    <s v="3"/>
    <s v="1"/>
    <s v="H"/>
    <s v="B"/>
    <x v="1"/>
    <x v="0"/>
    <x v="0"/>
    <x v="1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D60D0A-BA38-734F-A43A-F9162CB722A9}" name="PivotTable4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6" firstHeaderRow="1" firstDataRow="3" firstDataCol="1"/>
  <pivotFields count="27"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n="12 TBO" x="0"/>
        <item n="8 TBO" x="1"/>
        <item t="default"/>
      </items>
    </pivotField>
    <pivotField axis="axisRow" showAll="0">
      <items count="2">
        <item n="40 Periods" x="0"/>
        <item t="default"/>
      </items>
    </pivotField>
    <pivotField axis="axisRow" showAll="0">
      <items count="2">
        <item n="30 Items" x="0"/>
        <item t="default"/>
      </items>
    </pivotField>
    <pivotField axis="axisRow" showAll="0">
      <items count="3">
        <item n="Loose Capacity" x="1"/>
        <item x="0"/>
        <item t="default"/>
      </items>
    </pivotField>
    <pivotField axis="axisRow" showAll="0">
      <items count="3">
        <item n="High Demand Variance" x="0"/>
        <item n="Low Demand Variance" x="1"/>
        <item t="default"/>
      </items>
    </pivotField>
    <pivotField axis="axisRow" showAll="0">
      <items count="2">
        <item n="B(0–3T/4), Shelf life distribution" x="0"/>
        <item t="default"/>
      </items>
    </pivotField>
  </pivotFields>
  <rowFields count="6">
    <field x="22"/>
    <field x="23"/>
    <field x="24"/>
    <field x="25"/>
    <field x="26"/>
    <field x="21"/>
  </rowFields>
  <rowItems count="21">
    <i>
      <x/>
    </i>
    <i r="1">
      <x/>
    </i>
    <i r="2">
      <x/>
    </i>
    <i r="3">
      <x/>
    </i>
    <i r="4">
      <x/>
    </i>
    <i r="5">
      <x/>
    </i>
    <i r="5">
      <x v="1"/>
    </i>
    <i r="3">
      <x v="1"/>
    </i>
    <i r="4">
      <x/>
    </i>
    <i r="5">
      <x/>
    </i>
    <i r="5">
      <x v="1"/>
    </i>
    <i r="2">
      <x v="1"/>
    </i>
    <i r="3">
      <x/>
    </i>
    <i r="4">
      <x/>
    </i>
    <i r="5">
      <x/>
    </i>
    <i r="5">
      <x v="1"/>
    </i>
    <i r="3">
      <x v="1"/>
    </i>
    <i r="4">
      <x/>
    </i>
    <i r="5">
      <x/>
    </i>
    <i r="5">
      <x v="1"/>
    </i>
    <i t="grand">
      <x/>
    </i>
  </rowItems>
  <colFields count="2">
    <field x="9"/>
    <field x="-2"/>
  </colFields>
  <colItems count="15">
    <i>
      <x/>
      <x/>
    </i>
    <i r="1" i="1">
      <x v="1"/>
    </i>
    <i r="1" i="2">
      <x v="2"/>
    </i>
    <i r="1" i="3">
      <x v="3"/>
    </i>
    <i r="1" i="4">
      <x v="4"/>
    </i>
    <i>
      <x v="1"/>
      <x/>
    </i>
    <i r="1" i="1">
      <x v="1"/>
    </i>
    <i r="1" i="2">
      <x v="2"/>
    </i>
    <i r="1" i="3">
      <x v="3"/>
    </i>
    <i r="1" i="4">
      <x v="4"/>
    </i>
    <i t="grand">
      <x/>
    </i>
    <i t="grand" i="1">
      <x/>
    </i>
    <i t="grand" i="2">
      <x/>
    </i>
    <i t="grand" i="3">
      <x/>
    </i>
    <i t="grand" i="4">
      <x/>
    </i>
  </colItems>
  <dataFields count="5">
    <dataField name="Average of GAP" fld="12" subtotal="average" baseField="0" baseItem="0"/>
    <dataField name="Min of GAP" fld="12" subtotal="min" baseField="0" baseItem="0"/>
    <dataField name="Max of GAP" fld="12" subtotal="max" baseField="0" baseItem="0"/>
    <dataField name="StdDev of GAP" fld="12" subtotal="stdDev" baseField="0" baseItem="0"/>
    <dataField name="Count of instance" fld="3" subtotal="count" baseField="0" baseItem="0"/>
  </dataFields>
  <formats count="15">
    <format dxfId="194">
      <pivotArea outline="0" collapsedLevelsAreSubtotals="1" fieldPosition="0">
        <references count="2">
          <reference field="4294967294" count="4" selected="0">
            <x v="0"/>
            <x v="1"/>
            <x v="2"/>
            <x v="3"/>
          </reference>
          <reference field="9" count="0" selected="0"/>
        </references>
      </pivotArea>
    </format>
    <format dxfId="193">
      <pivotArea field="9" grandCol="1" outline="0" collapsedLevelsAreSubtotals="1" axis="axisCol" fieldPosition="0">
        <references count="1">
          <reference field="4294967294" count="4" selected="0">
            <x v="0"/>
            <x v="1"/>
            <x v="2"/>
            <x v="3"/>
          </reference>
        </references>
      </pivotArea>
    </format>
    <format dxfId="192">
      <pivotArea collapsedLevelsAreSubtotals="1" fieldPosition="0">
        <references count="6">
          <reference field="21" count="0"/>
          <reference field="22" count="0" selected="0"/>
          <reference field="23" count="0" selected="0"/>
          <reference field="24" count="1" selected="0">
            <x v="0"/>
          </reference>
          <reference field="25" count="1" selected="0">
            <x v="0"/>
          </reference>
          <reference field="26" count="0" selected="0"/>
        </references>
      </pivotArea>
    </format>
    <format dxfId="191">
      <pivotArea dataOnly="0" labelOnly="1" fieldPosition="0">
        <references count="6">
          <reference field="21" count="0"/>
          <reference field="22" count="0" selected="0"/>
          <reference field="23" count="0" selected="0"/>
          <reference field="24" count="1" selected="0">
            <x v="0"/>
          </reference>
          <reference field="25" count="1" selected="0">
            <x v="0"/>
          </reference>
          <reference field="26" count="0" selected="0"/>
        </references>
      </pivotArea>
    </format>
    <format dxfId="190">
      <pivotArea collapsedLevelsAreSubtotals="1" fieldPosition="0">
        <references count="6">
          <reference field="21" count="0"/>
          <reference field="22" count="0" selected="0"/>
          <reference field="23" count="0" selected="0"/>
          <reference field="24" count="1" selected="0">
            <x v="0"/>
          </reference>
          <reference field="25" count="1" selected="0">
            <x v="1"/>
          </reference>
          <reference field="26" count="0" selected="0"/>
        </references>
      </pivotArea>
    </format>
    <format dxfId="189">
      <pivotArea dataOnly="0" labelOnly="1" fieldPosition="0">
        <references count="6">
          <reference field="21" count="0"/>
          <reference field="22" count="0" selected="0"/>
          <reference field="23" count="0" selected="0"/>
          <reference field="24" count="1" selected="0">
            <x v="0"/>
          </reference>
          <reference field="25" count="1" selected="0">
            <x v="1"/>
          </reference>
          <reference field="26" count="0" selected="0"/>
        </references>
      </pivotArea>
    </format>
    <format dxfId="188">
      <pivotArea collapsedLevelsAreSubtotals="1" fieldPosition="0">
        <references count="6">
          <reference field="21" count="0"/>
          <reference field="22" count="0" selected="0"/>
          <reference field="23" count="0" selected="0"/>
          <reference field="24" count="1" selected="0">
            <x v="1"/>
          </reference>
          <reference field="25" count="1" selected="0">
            <x v="0"/>
          </reference>
          <reference field="26" count="0" selected="0"/>
        </references>
      </pivotArea>
    </format>
    <format dxfId="187">
      <pivotArea dataOnly="0" labelOnly="1" fieldPosition="0">
        <references count="6">
          <reference field="21" count="0"/>
          <reference field="22" count="0" selected="0"/>
          <reference field="23" count="0" selected="0"/>
          <reference field="24" count="1" selected="0">
            <x v="1"/>
          </reference>
          <reference field="25" count="1" selected="0">
            <x v="0"/>
          </reference>
          <reference field="26" count="0" selected="0"/>
        </references>
      </pivotArea>
    </format>
    <format dxfId="186">
      <pivotArea collapsedLevelsAreSubtotals="1" fieldPosition="0">
        <references count="6">
          <reference field="21" count="0"/>
          <reference field="22" count="0" selected="0"/>
          <reference field="23" count="0" selected="0"/>
          <reference field="24" count="1" selected="0">
            <x v="1"/>
          </reference>
          <reference field="25" count="1" selected="0">
            <x v="1"/>
          </reference>
          <reference field="26" count="0" selected="0"/>
        </references>
      </pivotArea>
    </format>
    <format dxfId="185">
      <pivotArea dataOnly="0" labelOnly="1" fieldPosition="0">
        <references count="6">
          <reference field="21" count="0"/>
          <reference field="22" count="0" selected="0"/>
          <reference field="23" count="0" selected="0"/>
          <reference field="24" count="1" selected="0">
            <x v="1"/>
          </reference>
          <reference field="25" count="1" selected="0">
            <x v="1"/>
          </reference>
          <reference field="26" count="0" selected="0"/>
        </references>
      </pivotArea>
    </format>
    <format dxfId="184">
      <pivotArea outline="0" collapsedLevelsAreSubtotals="1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format>
    <format dxfId="183">
      <pivotArea collapsedLevelsAreSubtotals="1" fieldPosition="0">
        <references count="8">
          <reference field="4294967294" count="1" selected="0">
            <x v="0"/>
          </reference>
          <reference field="9" count="1" selected="0">
            <x v="1"/>
          </reference>
          <reference field="21" count="0"/>
          <reference field="22" count="0" selected="0"/>
          <reference field="23" count="0" selected="0"/>
          <reference field="24" count="1" selected="0">
            <x v="0"/>
          </reference>
          <reference field="25" count="1" selected="0">
            <x v="0"/>
          </reference>
          <reference field="26" count="0" selected="0"/>
        </references>
      </pivotArea>
    </format>
    <format dxfId="182">
      <pivotArea collapsedLevelsAreSubtotals="1" fieldPosition="0">
        <references count="8">
          <reference field="4294967294" count="1" selected="0">
            <x v="0"/>
          </reference>
          <reference field="9" count="1" selected="0">
            <x v="1"/>
          </reference>
          <reference field="21" count="0"/>
          <reference field="22" count="0" selected="0"/>
          <reference field="23" count="0" selected="0"/>
          <reference field="24" count="1" selected="0">
            <x v="0"/>
          </reference>
          <reference field="25" count="1" selected="0">
            <x v="1"/>
          </reference>
          <reference field="26" count="0" selected="0"/>
        </references>
      </pivotArea>
    </format>
    <format dxfId="181">
      <pivotArea collapsedLevelsAreSubtotals="1" fieldPosition="0">
        <references count="8">
          <reference field="4294967294" count="1" selected="0">
            <x v="0"/>
          </reference>
          <reference field="9" count="1" selected="0">
            <x v="1"/>
          </reference>
          <reference field="21" count="0"/>
          <reference field="22" count="0" selected="0"/>
          <reference field="23" count="0" selected="0"/>
          <reference field="24" count="1" selected="0">
            <x v="1"/>
          </reference>
          <reference field="25" count="1" selected="0">
            <x v="0"/>
          </reference>
          <reference field="26" count="0" selected="0"/>
        </references>
      </pivotArea>
    </format>
    <format dxfId="180">
      <pivotArea collapsedLevelsAreSubtotals="1" fieldPosition="0">
        <references count="8">
          <reference field="4294967294" count="1" selected="0">
            <x v="0"/>
          </reference>
          <reference field="9" count="1" selected="0">
            <x v="1"/>
          </reference>
          <reference field="21" count="0"/>
          <reference field="22" count="0" selected="0"/>
          <reference field="23" count="0" selected="0"/>
          <reference field="24" count="1" selected="0">
            <x v="1"/>
          </reference>
          <reference field="25" count="1" selected="0">
            <x v="1"/>
          </reference>
          <reference field="26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CDEB5-5ED0-994F-9492-5C12CD1CE0A2}">
  <dimension ref="A3:P26"/>
  <sheetViews>
    <sheetView tabSelected="1" workbookViewId="0">
      <selection activeCell="C37" sqref="C37"/>
    </sheetView>
  </sheetViews>
  <sheetFormatPr baseColWidth="10" defaultRowHeight="15" x14ac:dyDescent="0.2"/>
  <cols>
    <col min="1" max="1" width="33.1640625" bestFit="1" customWidth="1"/>
    <col min="2" max="2" width="18.1640625" bestFit="1" customWidth="1"/>
    <col min="3" max="3" width="9.83203125" bestFit="1" customWidth="1"/>
    <col min="4" max="4" width="10" bestFit="1" customWidth="1"/>
    <col min="5" max="5" width="12.1640625" bestFit="1" customWidth="1"/>
    <col min="6" max="6" width="14.5" bestFit="1" customWidth="1"/>
    <col min="7" max="7" width="13" bestFit="1" customWidth="1"/>
    <col min="8" max="8" width="9.83203125" bestFit="1" customWidth="1"/>
    <col min="9" max="9" width="10" bestFit="1" customWidth="1"/>
    <col min="10" max="10" width="12.1640625" bestFit="1" customWidth="1"/>
    <col min="11" max="11" width="14.5" bestFit="1" customWidth="1"/>
    <col min="12" max="12" width="17.33203125" bestFit="1" customWidth="1"/>
    <col min="13" max="13" width="14" bestFit="1" customWidth="1"/>
    <col min="14" max="14" width="14.1640625" bestFit="1" customWidth="1"/>
    <col min="15" max="15" width="16.5" bestFit="1" customWidth="1"/>
    <col min="16" max="16" width="18.83203125" bestFit="1" customWidth="1"/>
  </cols>
  <sheetData>
    <row r="3" spans="1:16" x14ac:dyDescent="0.2">
      <c r="B3" s="1" t="s">
        <v>214</v>
      </c>
    </row>
    <row r="4" spans="1:16" x14ac:dyDescent="0.2">
      <c r="B4" t="s">
        <v>197</v>
      </c>
      <c r="G4" t="s">
        <v>196</v>
      </c>
      <c r="L4" t="s">
        <v>215</v>
      </c>
      <c r="M4" t="s">
        <v>222</v>
      </c>
      <c r="N4" t="s">
        <v>220</v>
      </c>
      <c r="O4" t="s">
        <v>218</v>
      </c>
      <c r="P4" t="s">
        <v>216</v>
      </c>
    </row>
    <row r="5" spans="1:16" x14ac:dyDescent="0.2">
      <c r="A5" s="1" t="s">
        <v>211</v>
      </c>
      <c r="B5" t="s">
        <v>213</v>
      </c>
      <c r="C5" t="s">
        <v>223</v>
      </c>
      <c r="D5" t="s">
        <v>221</v>
      </c>
      <c r="E5" t="s">
        <v>219</v>
      </c>
      <c r="F5" t="s">
        <v>217</v>
      </c>
      <c r="G5" t="s">
        <v>213</v>
      </c>
      <c r="H5" t="s">
        <v>223</v>
      </c>
      <c r="I5" t="s">
        <v>221</v>
      </c>
      <c r="J5" t="s">
        <v>219</v>
      </c>
      <c r="K5" t="s">
        <v>217</v>
      </c>
    </row>
    <row r="6" spans="1:16" x14ac:dyDescent="0.2">
      <c r="A6" s="6" t="s">
        <v>228</v>
      </c>
      <c r="B6" s="2">
        <v>1.8837218765887342E-2</v>
      </c>
      <c r="C6" s="2">
        <v>3.9233389866095997E-3</v>
      </c>
      <c r="D6" s="2">
        <v>3.2520951868228801E-2</v>
      </c>
      <c r="E6" s="2">
        <v>8.242293578303566E-3</v>
      </c>
      <c r="F6" s="5">
        <v>40</v>
      </c>
      <c r="G6" s="13">
        <v>0.22671406636986421</v>
      </c>
      <c r="H6" s="2">
        <v>9.1742749679033005E-3</v>
      </c>
      <c r="I6" s="2">
        <v>0.54198807736112786</v>
      </c>
      <c r="J6" s="2">
        <v>0.18442649445340448</v>
      </c>
      <c r="K6" s="5">
        <v>40</v>
      </c>
      <c r="L6" s="2">
        <v>0.12277564256787574</v>
      </c>
      <c r="M6" s="2">
        <v>3.9233389866095997E-3</v>
      </c>
      <c r="N6" s="2">
        <v>0.54198807736112786</v>
      </c>
      <c r="O6" s="2">
        <v>0.16662765656015702</v>
      </c>
      <c r="P6" s="5"/>
    </row>
    <row r="7" spans="1:16" x14ac:dyDescent="0.2">
      <c r="A7" s="7" t="s">
        <v>229</v>
      </c>
      <c r="B7" s="2">
        <v>1.8837218765887342E-2</v>
      </c>
      <c r="C7" s="2">
        <v>3.9233389866095997E-3</v>
      </c>
      <c r="D7" s="2">
        <v>3.2520951868228801E-2</v>
      </c>
      <c r="E7" s="2">
        <v>8.242293578303566E-3</v>
      </c>
      <c r="F7" s="5">
        <v>40</v>
      </c>
      <c r="G7" s="13">
        <v>0.22671406636986421</v>
      </c>
      <c r="H7" s="2">
        <v>9.1742749679033005E-3</v>
      </c>
      <c r="I7" s="2">
        <v>0.54198807736112786</v>
      </c>
      <c r="J7" s="2">
        <v>0.18442649445340448</v>
      </c>
      <c r="K7" s="5">
        <v>40</v>
      </c>
      <c r="L7" s="2">
        <v>0.12277564256787574</v>
      </c>
      <c r="M7" s="2">
        <v>3.9233389866095997E-3</v>
      </c>
      <c r="N7" s="2">
        <v>0.54198807736112786</v>
      </c>
      <c r="O7" s="2">
        <v>0.16662765656015702</v>
      </c>
      <c r="P7" s="5"/>
    </row>
    <row r="8" spans="1:16" x14ac:dyDescent="0.2">
      <c r="A8" s="8" t="s">
        <v>230</v>
      </c>
      <c r="B8" s="2">
        <v>1.6111826378161859E-2</v>
      </c>
      <c r="C8" s="2">
        <v>3.9233389866095997E-3</v>
      </c>
      <c r="D8" s="2">
        <v>2.99466242883203E-2</v>
      </c>
      <c r="E8" s="2">
        <v>9.8230503518182601E-3</v>
      </c>
      <c r="F8" s="5">
        <v>20</v>
      </c>
      <c r="G8" s="13">
        <v>0.18704187952411053</v>
      </c>
      <c r="H8" s="2">
        <v>9.1742749679033005E-3</v>
      </c>
      <c r="I8" s="2">
        <v>0.43397824877203861</v>
      </c>
      <c r="J8" s="2">
        <v>0.16887213671115553</v>
      </c>
      <c r="K8" s="5">
        <v>20</v>
      </c>
      <c r="L8" s="2">
        <v>0.10157685295113619</v>
      </c>
      <c r="M8" s="2">
        <v>3.9233389866095997E-3</v>
      </c>
      <c r="N8" s="2">
        <v>0.43397824877203861</v>
      </c>
      <c r="O8" s="2">
        <v>0.14639622712327699</v>
      </c>
      <c r="P8" s="5"/>
    </row>
    <row r="9" spans="1:16" x14ac:dyDescent="0.2">
      <c r="A9" s="9" t="s">
        <v>231</v>
      </c>
      <c r="B9" s="2">
        <v>1.5244454065229012E-2</v>
      </c>
      <c r="C9" s="2">
        <v>3.9233389866095997E-3</v>
      </c>
      <c r="D9" s="2">
        <v>2.9087515327362E-2</v>
      </c>
      <c r="E9" s="2">
        <v>1.0119252227751974E-2</v>
      </c>
      <c r="F9" s="5">
        <v>10</v>
      </c>
      <c r="G9" s="13">
        <v>0.18551803215775087</v>
      </c>
      <c r="H9" s="2">
        <v>9.1742749679033005E-3</v>
      </c>
      <c r="I9" s="2">
        <v>0.42899099053287237</v>
      </c>
      <c r="J9" s="2">
        <v>0.17640818335287309</v>
      </c>
      <c r="K9" s="5">
        <v>10</v>
      </c>
      <c r="L9" s="2">
        <v>0.10038124311148995</v>
      </c>
      <c r="M9" s="2">
        <v>3.9233389866095997E-3</v>
      </c>
      <c r="N9" s="2">
        <v>0.42899099053287237</v>
      </c>
      <c r="O9" s="2">
        <v>0.14973057817253282</v>
      </c>
      <c r="P9" s="5"/>
    </row>
    <row r="10" spans="1:16" x14ac:dyDescent="0.2">
      <c r="A10" s="10" t="s">
        <v>232</v>
      </c>
      <c r="B10" s="2">
        <v>1.5244454065229012E-2</v>
      </c>
      <c r="C10" s="2">
        <v>3.9233389866095997E-3</v>
      </c>
      <c r="D10" s="2">
        <v>2.9087515327362E-2</v>
      </c>
      <c r="E10" s="2">
        <v>1.0119252227751974E-2</v>
      </c>
      <c r="F10" s="5">
        <v>10</v>
      </c>
      <c r="G10" s="13">
        <v>0.18551803215775087</v>
      </c>
      <c r="H10" s="2">
        <v>9.1742749679033005E-3</v>
      </c>
      <c r="I10" s="2">
        <v>0.42899099053287237</v>
      </c>
      <c r="J10" s="2">
        <v>0.17640818335287309</v>
      </c>
      <c r="K10" s="5">
        <v>10</v>
      </c>
      <c r="L10" s="2">
        <v>0.10038124311148995</v>
      </c>
      <c r="M10" s="2">
        <v>3.9233389866095997E-3</v>
      </c>
      <c r="N10" s="2">
        <v>0.42899099053287237</v>
      </c>
      <c r="O10" s="2">
        <v>0.14973057817253282</v>
      </c>
      <c r="P10" s="5"/>
    </row>
    <row r="11" spans="1:16" s="3" customFormat="1" x14ac:dyDescent="0.2">
      <c r="A11" s="11" t="s">
        <v>233</v>
      </c>
      <c r="B11" s="4">
        <v>2.420919494031494E-2</v>
      </c>
      <c r="C11" s="4">
        <v>1.8022115929635499E-2</v>
      </c>
      <c r="D11" s="4">
        <v>2.9087515327362E-2</v>
      </c>
      <c r="E11" s="4">
        <v>4.3302583192669046E-3</v>
      </c>
      <c r="F11" s="12">
        <v>5</v>
      </c>
      <c r="G11" s="14">
        <v>0.35038719572346111</v>
      </c>
      <c r="H11" s="4">
        <v>0.32412371756170971</v>
      </c>
      <c r="I11" s="4">
        <v>0.42899099053287237</v>
      </c>
      <c r="J11" s="4">
        <v>4.4107075719421421E-2</v>
      </c>
      <c r="K11" s="12">
        <v>5</v>
      </c>
      <c r="L11" s="4">
        <v>0.18729819533188802</v>
      </c>
      <c r="M11" s="4">
        <v>1.8022115929635499E-2</v>
      </c>
      <c r="N11" s="4">
        <v>0.42899099053287237</v>
      </c>
      <c r="O11" s="4">
        <v>0.17443144516136694</v>
      </c>
      <c r="P11" s="12">
        <v>10</v>
      </c>
    </row>
    <row r="12" spans="1:16" s="3" customFormat="1" x14ac:dyDescent="0.2">
      <c r="A12" s="11" t="s">
        <v>234</v>
      </c>
      <c r="B12" s="4">
        <v>6.2797131901430794E-3</v>
      </c>
      <c r="C12" s="4">
        <v>3.9233389866095997E-3</v>
      </c>
      <c r="D12" s="4">
        <v>1.1769209748060099E-2</v>
      </c>
      <c r="E12" s="4">
        <v>3.2757843648157448E-3</v>
      </c>
      <c r="F12" s="12">
        <v>5</v>
      </c>
      <c r="G12" s="14">
        <v>2.064886859204066E-2</v>
      </c>
      <c r="H12" s="4">
        <v>9.1742749679033005E-3</v>
      </c>
      <c r="I12" s="4">
        <v>3.7792928661074303E-2</v>
      </c>
      <c r="J12" s="4">
        <v>1.0937057672240274E-2</v>
      </c>
      <c r="K12" s="12">
        <v>5</v>
      </c>
      <c r="L12" s="4">
        <v>1.3464290891091871E-2</v>
      </c>
      <c r="M12" s="4">
        <v>3.9233389866095997E-3</v>
      </c>
      <c r="N12" s="4">
        <v>3.7792928661074303E-2</v>
      </c>
      <c r="O12" s="4">
        <v>1.0737170858142134E-2</v>
      </c>
      <c r="P12" s="12">
        <v>10</v>
      </c>
    </row>
    <row r="13" spans="1:16" x14ac:dyDescent="0.2">
      <c r="A13" s="9" t="s">
        <v>235</v>
      </c>
      <c r="B13" s="2">
        <v>1.6979198691094696E-2</v>
      </c>
      <c r="C13" s="2">
        <v>5.6288604273343002E-3</v>
      </c>
      <c r="D13" s="2">
        <v>2.99466242883203E-2</v>
      </c>
      <c r="E13" s="2">
        <v>9.9817275316681775E-3</v>
      </c>
      <c r="F13" s="5">
        <v>10</v>
      </c>
      <c r="G13" s="13">
        <v>0.18856572689047019</v>
      </c>
      <c r="H13" s="2">
        <v>1.03803145898412E-2</v>
      </c>
      <c r="I13" s="2">
        <v>0.43397824877203861</v>
      </c>
      <c r="J13" s="2">
        <v>0.17052634400251129</v>
      </c>
      <c r="K13" s="5">
        <v>10</v>
      </c>
      <c r="L13" s="2">
        <v>0.10277246279078245</v>
      </c>
      <c r="M13" s="2">
        <v>5.6288604273343002E-3</v>
      </c>
      <c r="N13" s="2">
        <v>0.43397824877203861</v>
      </c>
      <c r="O13" s="2">
        <v>0.14686540620366609</v>
      </c>
      <c r="P13" s="5"/>
    </row>
    <row r="14" spans="1:16" x14ac:dyDescent="0.2">
      <c r="A14" s="10" t="s">
        <v>232</v>
      </c>
      <c r="B14" s="2">
        <v>1.6979198691094696E-2</v>
      </c>
      <c r="C14" s="2">
        <v>5.6288604273343002E-3</v>
      </c>
      <c r="D14" s="2">
        <v>2.99466242883203E-2</v>
      </c>
      <c r="E14" s="2">
        <v>9.9817275316681775E-3</v>
      </c>
      <c r="F14" s="5">
        <v>10</v>
      </c>
      <c r="G14" s="13">
        <v>0.18856572689047019</v>
      </c>
      <c r="H14" s="2">
        <v>1.03803145898412E-2</v>
      </c>
      <c r="I14" s="2">
        <v>0.43397824877203861</v>
      </c>
      <c r="J14" s="2">
        <v>0.17052634400251129</v>
      </c>
      <c r="K14" s="5">
        <v>10</v>
      </c>
      <c r="L14" s="2">
        <v>0.10277246279078245</v>
      </c>
      <c r="M14" s="2">
        <v>5.6288604273343002E-3</v>
      </c>
      <c r="N14" s="2">
        <v>0.43397824877203861</v>
      </c>
      <c r="O14" s="2">
        <v>0.14686540620366609</v>
      </c>
      <c r="P14" s="5"/>
    </row>
    <row r="15" spans="1:16" s="3" customFormat="1" x14ac:dyDescent="0.2">
      <c r="A15" s="11" t="s">
        <v>233</v>
      </c>
      <c r="B15" s="4">
        <v>2.6140735595899699E-2</v>
      </c>
      <c r="C15" s="4">
        <v>2.1420445808001499E-2</v>
      </c>
      <c r="D15" s="4">
        <v>2.99466242883203E-2</v>
      </c>
      <c r="E15" s="4">
        <v>3.3222303394379298E-3</v>
      </c>
      <c r="F15" s="12">
        <v>5</v>
      </c>
      <c r="G15" s="14">
        <v>0.34692053438845638</v>
      </c>
      <c r="H15" s="4">
        <v>0.3138782382445372</v>
      </c>
      <c r="I15" s="4">
        <v>0.43397824877203861</v>
      </c>
      <c r="J15" s="4">
        <v>4.9905552476238478E-2</v>
      </c>
      <c r="K15" s="12">
        <v>5</v>
      </c>
      <c r="L15" s="4">
        <v>0.18653063499217803</v>
      </c>
      <c r="M15" s="4">
        <v>2.1420445808001499E-2</v>
      </c>
      <c r="N15" s="4">
        <v>0.43397824877203861</v>
      </c>
      <c r="O15" s="4">
        <v>0.17232256697930401</v>
      </c>
      <c r="P15" s="12">
        <v>10</v>
      </c>
    </row>
    <row r="16" spans="1:16" s="3" customFormat="1" x14ac:dyDescent="0.2">
      <c r="A16" s="11" t="s">
        <v>234</v>
      </c>
      <c r="B16" s="4">
        <v>7.8176617862897001E-3</v>
      </c>
      <c r="C16" s="4">
        <v>5.6288604273343002E-3</v>
      </c>
      <c r="D16" s="4">
        <v>1.0535031092025301E-2</v>
      </c>
      <c r="E16" s="4">
        <v>1.8184827710205726E-3</v>
      </c>
      <c r="F16" s="12">
        <v>5</v>
      </c>
      <c r="G16" s="14">
        <v>3.0210919392483982E-2</v>
      </c>
      <c r="H16" s="4">
        <v>1.03803145898412E-2</v>
      </c>
      <c r="I16" s="4">
        <v>5.0050954324887501E-2</v>
      </c>
      <c r="J16" s="4">
        <v>1.5719404733388804E-2</v>
      </c>
      <c r="K16" s="12">
        <v>5</v>
      </c>
      <c r="L16" s="4">
        <v>1.9014290589386841E-2</v>
      </c>
      <c r="M16" s="4">
        <v>5.6288604273343002E-3</v>
      </c>
      <c r="N16" s="4">
        <v>5.0050954324887501E-2</v>
      </c>
      <c r="O16" s="4">
        <v>1.5829898661098338E-2</v>
      </c>
      <c r="P16" s="12">
        <v>10</v>
      </c>
    </row>
    <row r="17" spans="1:16" x14ac:dyDescent="0.2">
      <c r="A17" s="8" t="s">
        <v>209</v>
      </c>
      <c r="B17" s="2">
        <v>2.1562611153612826E-2</v>
      </c>
      <c r="C17" s="2">
        <v>1.41484774371715E-2</v>
      </c>
      <c r="D17" s="2">
        <v>3.2520951868228801E-2</v>
      </c>
      <c r="E17" s="2">
        <v>5.2265322157902224E-3</v>
      </c>
      <c r="F17" s="5">
        <v>20</v>
      </c>
      <c r="G17" s="13">
        <v>0.26638625321561782</v>
      </c>
      <c r="H17" s="2">
        <v>2.5667459657884101E-2</v>
      </c>
      <c r="I17" s="2">
        <v>0.54198807736112786</v>
      </c>
      <c r="J17" s="2">
        <v>0.19489790491205847</v>
      </c>
      <c r="K17" s="5">
        <v>20</v>
      </c>
      <c r="L17" s="2">
        <v>0.14397443218461531</v>
      </c>
      <c r="M17" s="2">
        <v>1.41484774371715E-2</v>
      </c>
      <c r="N17" s="2">
        <v>0.54198807736112786</v>
      </c>
      <c r="O17" s="2">
        <v>0.18408636815707222</v>
      </c>
      <c r="P17" s="5"/>
    </row>
    <row r="18" spans="1:16" x14ac:dyDescent="0.2">
      <c r="A18" s="9" t="s">
        <v>231</v>
      </c>
      <c r="B18" s="2">
        <v>2.2080328825333249E-2</v>
      </c>
      <c r="C18" s="2">
        <v>1.47578486211559E-2</v>
      </c>
      <c r="D18" s="2">
        <v>3.2520951868228801E-2</v>
      </c>
      <c r="E18" s="2">
        <v>6.363232738160223E-3</v>
      </c>
      <c r="F18" s="5">
        <v>10</v>
      </c>
      <c r="G18" s="13">
        <v>0.35631271763568406</v>
      </c>
      <c r="H18" s="2">
        <v>3.51807217595368E-2</v>
      </c>
      <c r="I18" s="2">
        <v>0.54198807736112786</v>
      </c>
      <c r="J18" s="2">
        <v>0.16787301200203611</v>
      </c>
      <c r="K18" s="5">
        <v>10</v>
      </c>
      <c r="L18" s="2">
        <v>0.18919652323050865</v>
      </c>
      <c r="M18" s="2">
        <v>1.47578486211559E-2</v>
      </c>
      <c r="N18" s="2">
        <v>0.54198807736112786</v>
      </c>
      <c r="O18" s="2">
        <v>0.20679929230447594</v>
      </c>
      <c r="P18" s="5"/>
    </row>
    <row r="19" spans="1:16" x14ac:dyDescent="0.2">
      <c r="A19" s="10" t="s">
        <v>232</v>
      </c>
      <c r="B19" s="2">
        <v>2.2080328825333249E-2</v>
      </c>
      <c r="C19" s="2">
        <v>1.47578486211559E-2</v>
      </c>
      <c r="D19" s="2">
        <v>3.2520951868228801E-2</v>
      </c>
      <c r="E19" s="2">
        <v>6.363232738160223E-3</v>
      </c>
      <c r="F19" s="5">
        <v>10</v>
      </c>
      <c r="G19" s="13">
        <v>0.35631271763568406</v>
      </c>
      <c r="H19" s="2">
        <v>3.51807217595368E-2</v>
      </c>
      <c r="I19" s="2">
        <v>0.54198807736112786</v>
      </c>
      <c r="J19" s="2">
        <v>0.16787301200203611</v>
      </c>
      <c r="K19" s="5">
        <v>10</v>
      </c>
      <c r="L19" s="2">
        <v>0.18919652323050865</v>
      </c>
      <c r="M19" s="2">
        <v>1.47578486211559E-2</v>
      </c>
      <c r="N19" s="2">
        <v>0.54198807736112786</v>
      </c>
      <c r="O19" s="2">
        <v>0.20679929230447594</v>
      </c>
      <c r="P19" s="5"/>
    </row>
    <row r="20" spans="1:16" s="3" customFormat="1" x14ac:dyDescent="0.2">
      <c r="A20" s="11" t="s">
        <v>233</v>
      </c>
      <c r="B20" s="4">
        <v>2.6785593234956041E-2</v>
      </c>
      <c r="C20" s="4">
        <v>1.9195721128446499E-2</v>
      </c>
      <c r="D20" s="4">
        <v>3.2520951868228801E-2</v>
      </c>
      <c r="E20" s="4">
        <v>5.6086856168837207E-3</v>
      </c>
      <c r="F20" s="12">
        <v>5</v>
      </c>
      <c r="G20" s="14">
        <v>0.49268804290103702</v>
      </c>
      <c r="H20" s="4">
        <v>0.4495699644615393</v>
      </c>
      <c r="I20" s="4">
        <v>0.54198807736112786</v>
      </c>
      <c r="J20" s="4">
        <v>3.5104643756314981E-2</v>
      </c>
      <c r="K20" s="12">
        <v>5</v>
      </c>
      <c r="L20" s="4">
        <v>0.25973681806799653</v>
      </c>
      <c r="M20" s="4">
        <v>1.9195721128446499E-2</v>
      </c>
      <c r="N20" s="4">
        <v>0.54198807736112786</v>
      </c>
      <c r="O20" s="4">
        <v>0.24669322041366032</v>
      </c>
      <c r="P20" s="12">
        <v>10</v>
      </c>
    </row>
    <row r="21" spans="1:16" s="3" customFormat="1" x14ac:dyDescent="0.2">
      <c r="A21" s="11" t="s">
        <v>234</v>
      </c>
      <c r="B21" s="4">
        <v>1.7375064415710455E-2</v>
      </c>
      <c r="C21" s="4">
        <v>1.47578486211559E-2</v>
      </c>
      <c r="D21" s="4">
        <v>1.97351619186312E-2</v>
      </c>
      <c r="E21" s="4">
        <v>2.0731635776733209E-3</v>
      </c>
      <c r="F21" s="12">
        <v>5</v>
      </c>
      <c r="G21" s="14">
        <v>0.21993739237033108</v>
      </c>
      <c r="H21" s="4">
        <v>3.51807217595368E-2</v>
      </c>
      <c r="I21" s="4">
        <v>0.38832958236533949</v>
      </c>
      <c r="J21" s="4">
        <v>0.12522030183079616</v>
      </c>
      <c r="K21" s="12">
        <v>5</v>
      </c>
      <c r="L21" s="4">
        <v>0.11865622839302077</v>
      </c>
      <c r="M21" s="4">
        <v>1.47578486211559E-2</v>
      </c>
      <c r="N21" s="4">
        <v>0.38832958236533949</v>
      </c>
      <c r="O21" s="4">
        <v>0.13553041059205131</v>
      </c>
      <c r="P21" s="12">
        <v>10</v>
      </c>
    </row>
    <row r="22" spans="1:16" x14ac:dyDescent="0.2">
      <c r="A22" s="9" t="s">
        <v>235</v>
      </c>
      <c r="B22" s="2">
        <v>2.1044893481892396E-2</v>
      </c>
      <c r="C22" s="2">
        <v>1.41484774371715E-2</v>
      </c>
      <c r="D22" s="2">
        <v>2.8001122318904399E-2</v>
      </c>
      <c r="E22" s="2">
        <v>4.0721129019901242E-3</v>
      </c>
      <c r="F22" s="5">
        <v>10</v>
      </c>
      <c r="G22" s="13">
        <v>0.1764597887955516</v>
      </c>
      <c r="H22" s="2">
        <v>2.5667459657884101E-2</v>
      </c>
      <c r="I22" s="2">
        <v>0.47655280532800193</v>
      </c>
      <c r="J22" s="2">
        <v>0.18449666060015968</v>
      </c>
      <c r="K22" s="5">
        <v>10</v>
      </c>
      <c r="L22" s="2">
        <v>9.8752341138722E-2</v>
      </c>
      <c r="M22" s="2">
        <v>1.41484774371715E-2</v>
      </c>
      <c r="N22" s="2">
        <v>0.47655280532800193</v>
      </c>
      <c r="O22" s="2">
        <v>0.1499595291564487</v>
      </c>
      <c r="P22" s="5"/>
    </row>
    <row r="23" spans="1:16" x14ac:dyDescent="0.2">
      <c r="A23" s="10" t="s">
        <v>232</v>
      </c>
      <c r="B23" s="2">
        <v>2.1044893481892396E-2</v>
      </c>
      <c r="C23" s="2">
        <v>1.41484774371715E-2</v>
      </c>
      <c r="D23" s="2">
        <v>2.8001122318904399E-2</v>
      </c>
      <c r="E23" s="2">
        <v>4.0721129019901242E-3</v>
      </c>
      <c r="F23" s="5">
        <v>10</v>
      </c>
      <c r="G23" s="13">
        <v>0.1764597887955516</v>
      </c>
      <c r="H23" s="2">
        <v>2.5667459657884101E-2</v>
      </c>
      <c r="I23" s="2">
        <v>0.47655280532800193</v>
      </c>
      <c r="J23" s="2">
        <v>0.18449666060015968</v>
      </c>
      <c r="K23" s="5">
        <v>10</v>
      </c>
      <c r="L23" s="2">
        <v>9.8752341138722E-2</v>
      </c>
      <c r="M23" s="2">
        <v>1.41484774371715E-2</v>
      </c>
      <c r="N23" s="2">
        <v>0.47655280532800193</v>
      </c>
      <c r="O23" s="2">
        <v>0.1499595291564487</v>
      </c>
      <c r="P23" s="5"/>
    </row>
    <row r="24" spans="1:16" s="3" customFormat="1" x14ac:dyDescent="0.2">
      <c r="A24" s="11" t="s">
        <v>233</v>
      </c>
      <c r="B24" s="4">
        <v>2.3972153594944819E-2</v>
      </c>
      <c r="C24" s="4">
        <v>2.0930673034603199E-2</v>
      </c>
      <c r="D24" s="4">
        <v>2.8001122318904399E-2</v>
      </c>
      <c r="E24" s="4">
        <v>2.8153246622116984E-3</v>
      </c>
      <c r="F24" s="12">
        <v>5</v>
      </c>
      <c r="G24" s="14">
        <v>0.31489287683213818</v>
      </c>
      <c r="H24" s="4">
        <v>2.89583255421525E-2</v>
      </c>
      <c r="I24" s="4">
        <v>0.47655280532800193</v>
      </c>
      <c r="J24" s="4">
        <v>0.16864677543935605</v>
      </c>
      <c r="K24" s="12">
        <v>5</v>
      </c>
      <c r="L24" s="4">
        <v>0.16943251521354152</v>
      </c>
      <c r="M24" s="4">
        <v>2.0930673034603199E-2</v>
      </c>
      <c r="N24" s="4">
        <v>0.47655280532800193</v>
      </c>
      <c r="O24" s="4">
        <v>0.1901419971431626</v>
      </c>
      <c r="P24" s="12">
        <v>10</v>
      </c>
    </row>
    <row r="25" spans="1:16" s="3" customFormat="1" x14ac:dyDescent="0.2">
      <c r="A25" s="11" t="s">
        <v>234</v>
      </c>
      <c r="B25" s="4">
        <v>1.811763336883998E-2</v>
      </c>
      <c r="C25" s="4">
        <v>1.41484774371715E-2</v>
      </c>
      <c r="D25" s="4">
        <v>2.1055284450426901E-2</v>
      </c>
      <c r="E25" s="4">
        <v>2.8216219568575401E-3</v>
      </c>
      <c r="F25" s="12">
        <v>5</v>
      </c>
      <c r="G25" s="14">
        <v>3.8026700758964957E-2</v>
      </c>
      <c r="H25" s="4">
        <v>2.5667459657884101E-2</v>
      </c>
      <c r="I25" s="4">
        <v>5.7852185816602703E-2</v>
      </c>
      <c r="J25" s="4">
        <v>1.5386860105874303E-2</v>
      </c>
      <c r="K25" s="12">
        <v>5</v>
      </c>
      <c r="L25" s="4">
        <v>2.8072167063902465E-2</v>
      </c>
      <c r="M25" s="4">
        <v>1.41484774371715E-2</v>
      </c>
      <c r="N25" s="4">
        <v>5.7852185816602703E-2</v>
      </c>
      <c r="O25" s="4">
        <v>1.4794125967956987E-2</v>
      </c>
      <c r="P25" s="12">
        <v>10</v>
      </c>
    </row>
    <row r="26" spans="1:16" x14ac:dyDescent="0.2">
      <c r="A26" s="6" t="s">
        <v>212</v>
      </c>
      <c r="B26" s="2">
        <v>1.8837218765887342E-2</v>
      </c>
      <c r="C26" s="2">
        <v>3.9233389866095997E-3</v>
      </c>
      <c r="D26" s="2">
        <v>3.2520951868228801E-2</v>
      </c>
      <c r="E26" s="2">
        <v>8.242293578303566E-3</v>
      </c>
      <c r="F26" s="5">
        <v>40</v>
      </c>
      <c r="G26" s="13">
        <v>0.22671406636986421</v>
      </c>
      <c r="H26" s="2">
        <v>9.1742749679033005E-3</v>
      </c>
      <c r="I26" s="2">
        <v>0.54198807736112786</v>
      </c>
      <c r="J26" s="2">
        <v>0.18442649445340448</v>
      </c>
      <c r="K26" s="5">
        <v>40</v>
      </c>
      <c r="L26" s="2">
        <v>0.12277564256787574</v>
      </c>
      <c r="M26" s="2">
        <v>3.9233389866095997E-3</v>
      </c>
      <c r="N26" s="2">
        <v>0.54198807736112786</v>
      </c>
      <c r="O26" s="2">
        <v>0.16662765656015702</v>
      </c>
      <c r="P26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47355-9D03-8D49-A1DE-76A3A96D5D93}">
  <dimension ref="A1:AA81"/>
  <sheetViews>
    <sheetView workbookViewId="0">
      <selection activeCell="H24" sqref="H24"/>
    </sheetView>
  </sheetViews>
  <sheetFormatPr baseColWidth="10" defaultRowHeight="15" x14ac:dyDescent="0.2"/>
  <sheetData>
    <row r="1" spans="1:27" x14ac:dyDescent="0.2">
      <c r="A1" t="s">
        <v>210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">
      <c r="A2">
        <v>31</v>
      </c>
      <c r="B2" t="s">
        <v>26</v>
      </c>
      <c r="C2" t="s">
        <v>104</v>
      </c>
      <c r="D2" t="s">
        <v>182</v>
      </c>
      <c r="E2" t="s">
        <v>187</v>
      </c>
      <c r="F2">
        <v>40</v>
      </c>
      <c r="G2">
        <v>30</v>
      </c>
      <c r="H2">
        <v>2700.375</v>
      </c>
      <c r="I2" t="s">
        <v>195</v>
      </c>
      <c r="J2" t="s">
        <v>196</v>
      </c>
      <c r="K2">
        <v>1743183.595218644</v>
      </c>
      <c r="L2">
        <v>798398.86995863263</v>
      </c>
      <c r="M2">
        <v>0.54198807736112786</v>
      </c>
      <c r="N2">
        <v>600.03683805465698</v>
      </c>
      <c r="O2">
        <v>11</v>
      </c>
      <c r="P2" t="s">
        <v>196</v>
      </c>
      <c r="Q2" t="s">
        <v>198</v>
      </c>
      <c r="R2" t="s">
        <v>198</v>
      </c>
      <c r="S2" t="s">
        <v>199</v>
      </c>
      <c r="T2" t="s">
        <v>201</v>
      </c>
      <c r="U2" t="s">
        <v>16</v>
      </c>
      <c r="V2" t="s">
        <v>203</v>
      </c>
      <c r="W2">
        <v>40</v>
      </c>
      <c r="X2">
        <v>30</v>
      </c>
      <c r="Y2" t="s">
        <v>209</v>
      </c>
      <c r="Z2" t="s">
        <v>206</v>
      </c>
      <c r="AA2" t="s">
        <v>208</v>
      </c>
    </row>
    <row r="3" spans="1:27" x14ac:dyDescent="0.2">
      <c r="A3">
        <v>43</v>
      </c>
      <c r="B3" t="s">
        <v>27</v>
      </c>
      <c r="C3" t="s">
        <v>105</v>
      </c>
      <c r="D3" t="s">
        <v>183</v>
      </c>
      <c r="E3" t="s">
        <v>187</v>
      </c>
      <c r="F3">
        <v>40</v>
      </c>
      <c r="G3">
        <v>30</v>
      </c>
      <c r="H3">
        <v>2333.4</v>
      </c>
      <c r="I3" t="s">
        <v>195</v>
      </c>
      <c r="J3" t="s">
        <v>196</v>
      </c>
      <c r="K3">
        <v>1636269.4085737569</v>
      </c>
      <c r="L3">
        <v>806608.89452714473</v>
      </c>
      <c r="M3">
        <v>0.50704395602542007</v>
      </c>
      <c r="N3">
        <v>600.0600368976593</v>
      </c>
      <c r="O3">
        <v>11</v>
      </c>
      <c r="P3" t="s">
        <v>196</v>
      </c>
      <c r="Q3" t="s">
        <v>198</v>
      </c>
      <c r="R3" t="s">
        <v>198</v>
      </c>
      <c r="S3" t="s">
        <v>199</v>
      </c>
      <c r="T3" t="s">
        <v>201</v>
      </c>
      <c r="U3" t="s">
        <v>16</v>
      </c>
      <c r="V3" t="s">
        <v>203</v>
      </c>
      <c r="W3">
        <v>40</v>
      </c>
      <c r="X3">
        <v>30</v>
      </c>
      <c r="Y3" t="s">
        <v>209</v>
      </c>
      <c r="Z3" t="s">
        <v>206</v>
      </c>
      <c r="AA3" t="s">
        <v>208</v>
      </c>
    </row>
    <row r="4" spans="1:27" x14ac:dyDescent="0.2">
      <c r="A4">
        <v>29</v>
      </c>
      <c r="B4" t="s">
        <v>28</v>
      </c>
      <c r="C4" t="s">
        <v>106</v>
      </c>
      <c r="D4" t="s">
        <v>184</v>
      </c>
      <c r="E4" t="s">
        <v>187</v>
      </c>
      <c r="F4">
        <v>40</v>
      </c>
      <c r="G4">
        <v>30</v>
      </c>
      <c r="H4">
        <v>2691.2750000000001</v>
      </c>
      <c r="I4" t="s">
        <v>195</v>
      </c>
      <c r="J4" t="s">
        <v>196</v>
      </c>
      <c r="K4">
        <v>1810654.0917150271</v>
      </c>
      <c r="L4">
        <v>918054.01098752324</v>
      </c>
      <c r="M4">
        <v>0.49297106764442511</v>
      </c>
      <c r="N4">
        <v>600.05322313308716</v>
      </c>
      <c r="O4">
        <v>11</v>
      </c>
      <c r="P4" t="s">
        <v>196</v>
      </c>
      <c r="Q4" t="s">
        <v>198</v>
      </c>
      <c r="R4" t="s">
        <v>198</v>
      </c>
      <c r="S4" t="s">
        <v>199</v>
      </c>
      <c r="T4" t="s">
        <v>201</v>
      </c>
      <c r="U4" t="s">
        <v>16</v>
      </c>
      <c r="V4" t="s">
        <v>203</v>
      </c>
      <c r="W4">
        <v>40</v>
      </c>
      <c r="X4">
        <v>30</v>
      </c>
      <c r="Y4" t="s">
        <v>209</v>
      </c>
      <c r="Z4" t="s">
        <v>206</v>
      </c>
      <c r="AA4" t="s">
        <v>208</v>
      </c>
    </row>
    <row r="5" spans="1:27" x14ac:dyDescent="0.2">
      <c r="A5">
        <v>23</v>
      </c>
      <c r="B5" t="s">
        <v>29</v>
      </c>
      <c r="C5" t="s">
        <v>107</v>
      </c>
      <c r="D5" t="s">
        <v>183</v>
      </c>
      <c r="E5" t="s">
        <v>188</v>
      </c>
      <c r="F5">
        <v>40</v>
      </c>
      <c r="G5">
        <v>30</v>
      </c>
      <c r="H5">
        <v>2270.9</v>
      </c>
      <c r="I5" t="s">
        <v>195</v>
      </c>
      <c r="J5" t="s">
        <v>196</v>
      </c>
      <c r="K5">
        <v>1413210.1165039011</v>
      </c>
      <c r="L5">
        <v>739740.87096605473</v>
      </c>
      <c r="M5">
        <v>0.47655280532800193</v>
      </c>
      <c r="N5">
        <v>600.05574083328247</v>
      </c>
      <c r="O5">
        <v>11</v>
      </c>
      <c r="P5" t="s">
        <v>196</v>
      </c>
      <c r="Q5" t="s">
        <v>198</v>
      </c>
      <c r="R5" t="s">
        <v>198</v>
      </c>
      <c r="S5" t="s">
        <v>199</v>
      </c>
      <c r="T5" t="s">
        <v>202</v>
      </c>
      <c r="U5" t="s">
        <v>16</v>
      </c>
      <c r="V5" t="s">
        <v>203</v>
      </c>
      <c r="W5">
        <v>40</v>
      </c>
      <c r="X5">
        <v>30</v>
      </c>
      <c r="Y5" t="s">
        <v>209</v>
      </c>
      <c r="Z5" t="s">
        <v>207</v>
      </c>
      <c r="AA5" t="s">
        <v>208</v>
      </c>
    </row>
    <row r="6" spans="1:27" x14ac:dyDescent="0.2">
      <c r="A6">
        <v>9</v>
      </c>
      <c r="B6" t="s">
        <v>30</v>
      </c>
      <c r="C6" t="s">
        <v>108</v>
      </c>
      <c r="D6" t="s">
        <v>185</v>
      </c>
      <c r="E6" t="s">
        <v>187</v>
      </c>
      <c r="F6">
        <v>40</v>
      </c>
      <c r="G6">
        <v>30</v>
      </c>
      <c r="H6">
        <v>2711.875</v>
      </c>
      <c r="I6" t="s">
        <v>195</v>
      </c>
      <c r="J6" t="s">
        <v>196</v>
      </c>
      <c r="K6">
        <v>1650452.481084096</v>
      </c>
      <c r="L6">
        <v>871658.17425405222</v>
      </c>
      <c r="M6">
        <v>0.47186714901267229</v>
      </c>
      <c r="N6">
        <v>600.0585720539093</v>
      </c>
      <c r="O6">
        <v>11</v>
      </c>
      <c r="P6" t="s">
        <v>196</v>
      </c>
      <c r="Q6" t="s">
        <v>198</v>
      </c>
      <c r="R6" t="s">
        <v>198</v>
      </c>
      <c r="S6" t="s">
        <v>199</v>
      </c>
      <c r="T6" t="s">
        <v>201</v>
      </c>
      <c r="U6" t="s">
        <v>16</v>
      </c>
      <c r="V6" t="s">
        <v>203</v>
      </c>
      <c r="W6">
        <v>40</v>
      </c>
      <c r="X6">
        <v>30</v>
      </c>
      <c r="Y6" t="s">
        <v>209</v>
      </c>
      <c r="Z6" t="s">
        <v>206</v>
      </c>
      <c r="AA6" t="s">
        <v>208</v>
      </c>
    </row>
    <row r="7" spans="1:27" x14ac:dyDescent="0.2">
      <c r="A7">
        <v>5</v>
      </c>
      <c r="B7" t="s">
        <v>31</v>
      </c>
      <c r="C7" t="s">
        <v>109</v>
      </c>
      <c r="D7" t="s">
        <v>186</v>
      </c>
      <c r="E7" t="s">
        <v>187</v>
      </c>
      <c r="F7">
        <v>40</v>
      </c>
      <c r="G7">
        <v>30</v>
      </c>
      <c r="H7">
        <v>2686.125</v>
      </c>
      <c r="I7" t="s">
        <v>195</v>
      </c>
      <c r="J7" t="s">
        <v>196</v>
      </c>
      <c r="K7">
        <v>1653120.916142209</v>
      </c>
      <c r="L7">
        <v>909927.40462152835</v>
      </c>
      <c r="M7">
        <v>0.4495699644615393</v>
      </c>
      <c r="N7">
        <v>600.04862308502197</v>
      </c>
      <c r="O7">
        <v>11</v>
      </c>
      <c r="P7" t="s">
        <v>196</v>
      </c>
      <c r="Q7" t="s">
        <v>198</v>
      </c>
      <c r="R7" t="s">
        <v>198</v>
      </c>
      <c r="S7" t="s">
        <v>199</v>
      </c>
      <c r="T7" t="s">
        <v>201</v>
      </c>
      <c r="U7" t="s">
        <v>16</v>
      </c>
      <c r="V7" t="s">
        <v>203</v>
      </c>
      <c r="W7">
        <v>40</v>
      </c>
      <c r="X7">
        <v>30</v>
      </c>
      <c r="Y7" t="s">
        <v>209</v>
      </c>
      <c r="Z7" t="s">
        <v>206</v>
      </c>
      <c r="AA7" t="s">
        <v>208</v>
      </c>
    </row>
    <row r="8" spans="1:27" x14ac:dyDescent="0.2">
      <c r="A8">
        <v>73</v>
      </c>
      <c r="B8" t="s">
        <v>32</v>
      </c>
      <c r="C8" t="s">
        <v>110</v>
      </c>
      <c r="D8" t="s">
        <v>184</v>
      </c>
      <c r="E8" t="s">
        <v>189</v>
      </c>
      <c r="F8">
        <v>40</v>
      </c>
      <c r="G8">
        <v>30</v>
      </c>
      <c r="H8">
        <v>2860.2750000000001</v>
      </c>
      <c r="I8" t="s">
        <v>195</v>
      </c>
      <c r="J8" t="s">
        <v>196</v>
      </c>
      <c r="K8">
        <v>1451577.8624094559</v>
      </c>
      <c r="L8">
        <v>821624.64372474118</v>
      </c>
      <c r="M8">
        <v>0.43397824877203861</v>
      </c>
      <c r="N8">
        <v>600.05773210525513</v>
      </c>
      <c r="O8">
        <v>11</v>
      </c>
      <c r="P8" t="s">
        <v>196</v>
      </c>
      <c r="Q8" t="s">
        <v>198</v>
      </c>
      <c r="R8" t="s">
        <v>198</v>
      </c>
      <c r="S8" t="s">
        <v>200</v>
      </c>
      <c r="T8" t="s">
        <v>202</v>
      </c>
      <c r="U8" t="s">
        <v>16</v>
      </c>
      <c r="V8" t="s">
        <v>203</v>
      </c>
      <c r="W8">
        <v>40</v>
      </c>
      <c r="X8">
        <v>30</v>
      </c>
      <c r="Y8" t="s">
        <v>205</v>
      </c>
      <c r="Z8" t="s">
        <v>207</v>
      </c>
      <c r="AA8" t="s">
        <v>208</v>
      </c>
    </row>
    <row r="9" spans="1:27" x14ac:dyDescent="0.2">
      <c r="A9">
        <v>21</v>
      </c>
      <c r="B9" t="s">
        <v>33</v>
      </c>
      <c r="C9" t="s">
        <v>111</v>
      </c>
      <c r="D9" t="s">
        <v>183</v>
      </c>
      <c r="E9" t="s">
        <v>190</v>
      </c>
      <c r="F9">
        <v>40</v>
      </c>
      <c r="G9">
        <v>30</v>
      </c>
      <c r="H9">
        <v>2508.25</v>
      </c>
      <c r="I9" t="s">
        <v>195</v>
      </c>
      <c r="J9" t="s">
        <v>196</v>
      </c>
      <c r="K9">
        <v>1282011.452926022</v>
      </c>
      <c r="L9">
        <v>732040.08986080089</v>
      </c>
      <c r="M9">
        <v>0.42899099053287237</v>
      </c>
      <c r="N9">
        <v>600.047856092453</v>
      </c>
      <c r="O9">
        <v>11</v>
      </c>
      <c r="P9" t="s">
        <v>196</v>
      </c>
      <c r="Q9" t="s">
        <v>198</v>
      </c>
      <c r="R9" t="s">
        <v>198</v>
      </c>
      <c r="S9" t="s">
        <v>200</v>
      </c>
      <c r="T9" t="s">
        <v>201</v>
      </c>
      <c r="U9" t="s">
        <v>16</v>
      </c>
      <c r="V9" t="s">
        <v>203</v>
      </c>
      <c r="W9">
        <v>40</v>
      </c>
      <c r="X9">
        <v>30</v>
      </c>
      <c r="Y9" t="s">
        <v>205</v>
      </c>
      <c r="Z9" t="s">
        <v>206</v>
      </c>
      <c r="AA9" t="s">
        <v>208</v>
      </c>
    </row>
    <row r="10" spans="1:27" x14ac:dyDescent="0.2">
      <c r="A10">
        <v>15</v>
      </c>
      <c r="B10" t="s">
        <v>34</v>
      </c>
      <c r="C10" t="s">
        <v>112</v>
      </c>
      <c r="D10" t="s">
        <v>183</v>
      </c>
      <c r="E10" t="s">
        <v>191</v>
      </c>
      <c r="F10">
        <v>40</v>
      </c>
      <c r="G10">
        <v>30</v>
      </c>
      <c r="H10">
        <v>2322.4749999999999</v>
      </c>
      <c r="I10" t="s">
        <v>195</v>
      </c>
      <c r="J10" t="s">
        <v>196</v>
      </c>
      <c r="K10">
        <v>929623.17969282763</v>
      </c>
      <c r="L10">
        <v>568622.99856557301</v>
      </c>
      <c r="M10">
        <v>0.38832958236533949</v>
      </c>
      <c r="N10">
        <v>600.07527208328247</v>
      </c>
      <c r="O10">
        <v>11</v>
      </c>
      <c r="P10" t="s">
        <v>196</v>
      </c>
      <c r="Q10" t="s">
        <v>198</v>
      </c>
      <c r="R10" t="s">
        <v>198</v>
      </c>
      <c r="S10" t="s">
        <v>199</v>
      </c>
      <c r="T10" t="s">
        <v>201</v>
      </c>
      <c r="U10" t="s">
        <v>16</v>
      </c>
      <c r="V10" t="s">
        <v>204</v>
      </c>
      <c r="W10">
        <v>40</v>
      </c>
      <c r="X10">
        <v>30</v>
      </c>
      <c r="Y10" t="s">
        <v>209</v>
      </c>
      <c r="Z10" t="s">
        <v>206</v>
      </c>
      <c r="AA10" t="s">
        <v>208</v>
      </c>
    </row>
    <row r="11" spans="1:27" x14ac:dyDescent="0.2">
      <c r="A11">
        <v>75</v>
      </c>
      <c r="B11" t="s">
        <v>35</v>
      </c>
      <c r="C11" t="s">
        <v>113</v>
      </c>
      <c r="D11" t="s">
        <v>184</v>
      </c>
      <c r="E11" t="s">
        <v>188</v>
      </c>
      <c r="F11">
        <v>40</v>
      </c>
      <c r="G11">
        <v>30</v>
      </c>
      <c r="H11">
        <v>2638.1</v>
      </c>
      <c r="I11" t="s">
        <v>195</v>
      </c>
      <c r="J11" t="s">
        <v>196</v>
      </c>
      <c r="K11">
        <v>1728538.3681119401</v>
      </c>
      <c r="L11">
        <v>1087917.535506346</v>
      </c>
      <c r="M11">
        <v>0.37061418156736409</v>
      </c>
      <c r="N11">
        <v>600.05732607841492</v>
      </c>
      <c r="O11">
        <v>11</v>
      </c>
      <c r="P11" t="s">
        <v>196</v>
      </c>
      <c r="Q11" t="s">
        <v>198</v>
      </c>
      <c r="R11" t="s">
        <v>198</v>
      </c>
      <c r="S11" t="s">
        <v>199</v>
      </c>
      <c r="T11" t="s">
        <v>202</v>
      </c>
      <c r="U11" t="s">
        <v>16</v>
      </c>
      <c r="V11" t="s">
        <v>203</v>
      </c>
      <c r="W11">
        <v>40</v>
      </c>
      <c r="X11">
        <v>30</v>
      </c>
      <c r="Y11" t="s">
        <v>209</v>
      </c>
      <c r="Z11" t="s">
        <v>207</v>
      </c>
      <c r="AA11" t="s">
        <v>208</v>
      </c>
    </row>
    <row r="12" spans="1:27" x14ac:dyDescent="0.2">
      <c r="A12">
        <v>13</v>
      </c>
      <c r="B12" t="s">
        <v>36</v>
      </c>
      <c r="C12" t="s">
        <v>114</v>
      </c>
      <c r="D12" t="s">
        <v>186</v>
      </c>
      <c r="E12" t="s">
        <v>188</v>
      </c>
      <c r="F12">
        <v>40</v>
      </c>
      <c r="G12">
        <v>30</v>
      </c>
      <c r="H12">
        <v>2640.9250000000002</v>
      </c>
      <c r="I12" t="s">
        <v>195</v>
      </c>
      <c r="J12" t="s">
        <v>196</v>
      </c>
      <c r="K12">
        <v>1781389.27442105</v>
      </c>
      <c r="L12">
        <v>1133573.869056351</v>
      </c>
      <c r="M12">
        <v>0.3636574075451523</v>
      </c>
      <c r="N12">
        <v>600.05081415176392</v>
      </c>
      <c r="O12">
        <v>11</v>
      </c>
      <c r="P12" t="s">
        <v>196</v>
      </c>
      <c r="Q12" t="s">
        <v>198</v>
      </c>
      <c r="R12" t="s">
        <v>198</v>
      </c>
      <c r="S12" t="s">
        <v>199</v>
      </c>
      <c r="T12" t="s">
        <v>202</v>
      </c>
      <c r="U12" t="s">
        <v>16</v>
      </c>
      <c r="V12" t="s">
        <v>203</v>
      </c>
      <c r="W12">
        <v>40</v>
      </c>
      <c r="X12">
        <v>30</v>
      </c>
      <c r="Y12" t="s">
        <v>209</v>
      </c>
      <c r="Z12" t="s">
        <v>207</v>
      </c>
      <c r="AA12" t="s">
        <v>208</v>
      </c>
    </row>
    <row r="13" spans="1:27" x14ac:dyDescent="0.2">
      <c r="A13">
        <v>45</v>
      </c>
      <c r="B13" t="s">
        <v>37</v>
      </c>
      <c r="C13" t="s">
        <v>115</v>
      </c>
      <c r="D13" t="s">
        <v>185</v>
      </c>
      <c r="E13" t="s">
        <v>189</v>
      </c>
      <c r="F13">
        <v>40</v>
      </c>
      <c r="G13">
        <v>30</v>
      </c>
      <c r="H13">
        <v>2884.45</v>
      </c>
      <c r="I13" t="s">
        <v>195</v>
      </c>
      <c r="J13" t="s">
        <v>196</v>
      </c>
      <c r="K13">
        <v>1476552.6365504351</v>
      </c>
      <c r="L13">
        <v>973889.64542500966</v>
      </c>
      <c r="M13">
        <v>0.3404301199175408</v>
      </c>
      <c r="N13">
        <v>600.23386406898499</v>
      </c>
      <c r="O13">
        <v>11</v>
      </c>
      <c r="P13" t="s">
        <v>196</v>
      </c>
      <c r="Q13" t="s">
        <v>198</v>
      </c>
      <c r="R13" t="s">
        <v>198</v>
      </c>
      <c r="S13" t="s">
        <v>200</v>
      </c>
      <c r="T13" t="s">
        <v>202</v>
      </c>
      <c r="U13" t="s">
        <v>16</v>
      </c>
      <c r="V13" t="s">
        <v>203</v>
      </c>
      <c r="W13">
        <v>40</v>
      </c>
      <c r="X13">
        <v>30</v>
      </c>
      <c r="Y13" t="s">
        <v>205</v>
      </c>
      <c r="Z13" t="s">
        <v>207</v>
      </c>
      <c r="AA13" t="s">
        <v>208</v>
      </c>
    </row>
    <row r="14" spans="1:27" x14ac:dyDescent="0.2">
      <c r="A14">
        <v>19</v>
      </c>
      <c r="B14" t="s">
        <v>38</v>
      </c>
      <c r="C14" t="s">
        <v>116</v>
      </c>
      <c r="D14" t="s">
        <v>185</v>
      </c>
      <c r="E14" t="s">
        <v>188</v>
      </c>
      <c r="F14">
        <v>40</v>
      </c>
      <c r="G14">
        <v>30</v>
      </c>
      <c r="H14">
        <v>2633.5749999999998</v>
      </c>
      <c r="I14" t="s">
        <v>195</v>
      </c>
      <c r="J14" t="s">
        <v>196</v>
      </c>
      <c r="K14">
        <v>1755917.9952406259</v>
      </c>
      <c r="L14">
        <v>1168244.4384333601</v>
      </c>
      <c r="M14">
        <v>0.3346816641780202</v>
      </c>
      <c r="N14">
        <v>600.05479907989502</v>
      </c>
      <c r="O14">
        <v>11</v>
      </c>
      <c r="P14" t="s">
        <v>196</v>
      </c>
      <c r="Q14" t="s">
        <v>198</v>
      </c>
      <c r="R14" t="s">
        <v>198</v>
      </c>
      <c r="S14" t="s">
        <v>199</v>
      </c>
      <c r="T14" t="s">
        <v>202</v>
      </c>
      <c r="U14" t="s">
        <v>16</v>
      </c>
      <c r="V14" t="s">
        <v>203</v>
      </c>
      <c r="W14">
        <v>40</v>
      </c>
      <c r="X14">
        <v>30</v>
      </c>
      <c r="Y14" t="s">
        <v>209</v>
      </c>
      <c r="Z14" t="s">
        <v>207</v>
      </c>
      <c r="AA14" t="s">
        <v>208</v>
      </c>
    </row>
    <row r="15" spans="1:27" x14ac:dyDescent="0.2">
      <c r="A15">
        <v>1</v>
      </c>
      <c r="B15" t="s">
        <v>39</v>
      </c>
      <c r="C15" t="s">
        <v>117</v>
      </c>
      <c r="D15" t="s">
        <v>185</v>
      </c>
      <c r="E15" t="s">
        <v>190</v>
      </c>
      <c r="F15">
        <v>40</v>
      </c>
      <c r="G15">
        <v>30</v>
      </c>
      <c r="H15">
        <v>2908.9</v>
      </c>
      <c r="I15" t="s">
        <v>195</v>
      </c>
      <c r="J15" t="s">
        <v>196</v>
      </c>
      <c r="K15">
        <v>1483530.608497526</v>
      </c>
      <c r="L15">
        <v>989034.09534741577</v>
      </c>
      <c r="M15">
        <v>0.3333241055612064</v>
      </c>
      <c r="N15">
        <v>600.05373811721802</v>
      </c>
      <c r="O15">
        <v>11</v>
      </c>
      <c r="P15" t="s">
        <v>196</v>
      </c>
      <c r="Q15" t="s">
        <v>198</v>
      </c>
      <c r="R15" t="s">
        <v>198</v>
      </c>
      <c r="S15" t="s">
        <v>200</v>
      </c>
      <c r="T15" t="s">
        <v>201</v>
      </c>
      <c r="U15" t="s">
        <v>16</v>
      </c>
      <c r="V15" t="s">
        <v>203</v>
      </c>
      <c r="W15">
        <v>40</v>
      </c>
      <c r="X15">
        <v>30</v>
      </c>
      <c r="Y15" t="s">
        <v>205</v>
      </c>
      <c r="Z15" t="s">
        <v>206</v>
      </c>
      <c r="AA15" t="s">
        <v>208</v>
      </c>
    </row>
    <row r="16" spans="1:27" x14ac:dyDescent="0.2">
      <c r="A16">
        <v>65</v>
      </c>
      <c r="B16" t="s">
        <v>40</v>
      </c>
      <c r="C16" t="s">
        <v>118</v>
      </c>
      <c r="D16" t="s">
        <v>182</v>
      </c>
      <c r="E16" t="s">
        <v>190</v>
      </c>
      <c r="F16">
        <v>40</v>
      </c>
      <c r="G16">
        <v>30</v>
      </c>
      <c r="H16">
        <v>2989.625</v>
      </c>
      <c r="I16" t="s">
        <v>195</v>
      </c>
      <c r="J16" t="s">
        <v>196</v>
      </c>
      <c r="K16">
        <v>1480613.0445667349</v>
      </c>
      <c r="L16">
        <v>987795.81741184124</v>
      </c>
      <c r="M16">
        <v>0.3328467413976518</v>
      </c>
      <c r="N16">
        <v>600.05188298225403</v>
      </c>
      <c r="O16">
        <v>11</v>
      </c>
      <c r="P16" t="s">
        <v>196</v>
      </c>
      <c r="Q16" t="s">
        <v>198</v>
      </c>
      <c r="R16" t="s">
        <v>198</v>
      </c>
      <c r="S16" t="s">
        <v>200</v>
      </c>
      <c r="T16" t="s">
        <v>201</v>
      </c>
      <c r="U16" t="s">
        <v>16</v>
      </c>
      <c r="V16" t="s">
        <v>203</v>
      </c>
      <c r="W16">
        <v>40</v>
      </c>
      <c r="X16">
        <v>30</v>
      </c>
      <c r="Y16" t="s">
        <v>205</v>
      </c>
      <c r="Z16" t="s">
        <v>206</v>
      </c>
      <c r="AA16" t="s">
        <v>208</v>
      </c>
    </row>
    <row r="17" spans="1:27" x14ac:dyDescent="0.2">
      <c r="A17">
        <v>3</v>
      </c>
      <c r="B17" t="s">
        <v>41</v>
      </c>
      <c r="C17" t="s">
        <v>119</v>
      </c>
      <c r="D17" t="s">
        <v>184</v>
      </c>
      <c r="E17" t="s">
        <v>190</v>
      </c>
      <c r="F17">
        <v>40</v>
      </c>
      <c r="G17">
        <v>30</v>
      </c>
      <c r="H17">
        <v>2962.7249999999999</v>
      </c>
      <c r="I17" t="s">
        <v>195</v>
      </c>
      <c r="J17" t="s">
        <v>196</v>
      </c>
      <c r="K17">
        <v>1518826.787014822</v>
      </c>
      <c r="L17">
        <v>1013588.412994198</v>
      </c>
      <c r="M17">
        <v>0.33265042356386498</v>
      </c>
      <c r="N17">
        <v>600.05965685844421</v>
      </c>
      <c r="O17">
        <v>11</v>
      </c>
      <c r="P17" t="s">
        <v>196</v>
      </c>
      <c r="Q17" t="s">
        <v>198</v>
      </c>
      <c r="R17" t="s">
        <v>198</v>
      </c>
      <c r="S17" t="s">
        <v>200</v>
      </c>
      <c r="T17" t="s">
        <v>201</v>
      </c>
      <c r="U17" t="s">
        <v>16</v>
      </c>
      <c r="V17" t="s">
        <v>203</v>
      </c>
      <c r="W17">
        <v>40</v>
      </c>
      <c r="X17">
        <v>30</v>
      </c>
      <c r="Y17" t="s">
        <v>205</v>
      </c>
      <c r="Z17" t="s">
        <v>206</v>
      </c>
      <c r="AA17" t="s">
        <v>208</v>
      </c>
    </row>
    <row r="18" spans="1:27" x14ac:dyDescent="0.2">
      <c r="A18">
        <v>39</v>
      </c>
      <c r="B18" t="s">
        <v>42</v>
      </c>
      <c r="C18" t="s">
        <v>120</v>
      </c>
      <c r="D18" t="s">
        <v>183</v>
      </c>
      <c r="E18" t="s">
        <v>189</v>
      </c>
      <c r="F18">
        <v>40</v>
      </c>
      <c r="G18">
        <v>30</v>
      </c>
      <c r="H18">
        <v>2403.625</v>
      </c>
      <c r="I18" t="s">
        <v>195</v>
      </c>
      <c r="J18" t="s">
        <v>196</v>
      </c>
      <c r="K18">
        <v>1200161.007108568</v>
      </c>
      <c r="L18">
        <v>803023.73465804872</v>
      </c>
      <c r="M18">
        <v>0.33090332888526658</v>
      </c>
      <c r="N18">
        <v>600.04919695854187</v>
      </c>
      <c r="O18">
        <v>11</v>
      </c>
      <c r="P18" t="s">
        <v>196</v>
      </c>
      <c r="Q18" t="s">
        <v>198</v>
      </c>
      <c r="R18" t="s">
        <v>198</v>
      </c>
      <c r="S18" t="s">
        <v>200</v>
      </c>
      <c r="T18" t="s">
        <v>202</v>
      </c>
      <c r="U18" t="s">
        <v>16</v>
      </c>
      <c r="V18" t="s">
        <v>203</v>
      </c>
      <c r="W18">
        <v>40</v>
      </c>
      <c r="X18">
        <v>30</v>
      </c>
      <c r="Y18" t="s">
        <v>205</v>
      </c>
      <c r="Z18" t="s">
        <v>207</v>
      </c>
      <c r="AA18" t="s">
        <v>208</v>
      </c>
    </row>
    <row r="19" spans="1:27" x14ac:dyDescent="0.2">
      <c r="A19">
        <v>63</v>
      </c>
      <c r="B19" t="s">
        <v>43</v>
      </c>
      <c r="C19" t="s">
        <v>121</v>
      </c>
      <c r="D19" t="s">
        <v>186</v>
      </c>
      <c r="E19" t="s">
        <v>190</v>
      </c>
      <c r="F19">
        <v>40</v>
      </c>
      <c r="G19">
        <v>30</v>
      </c>
      <c r="H19">
        <v>2976.5</v>
      </c>
      <c r="I19" t="s">
        <v>195</v>
      </c>
      <c r="J19" t="s">
        <v>196</v>
      </c>
      <c r="K19">
        <v>1464048.101113247</v>
      </c>
      <c r="L19">
        <v>989515.38789125963</v>
      </c>
      <c r="M19">
        <v>0.32412371756170971</v>
      </c>
      <c r="N19">
        <v>600.08278107643127</v>
      </c>
      <c r="O19">
        <v>11</v>
      </c>
      <c r="P19" t="s">
        <v>196</v>
      </c>
      <c r="Q19" t="s">
        <v>198</v>
      </c>
      <c r="R19" t="s">
        <v>198</v>
      </c>
      <c r="S19" t="s">
        <v>200</v>
      </c>
      <c r="T19" t="s">
        <v>201</v>
      </c>
      <c r="U19" t="s">
        <v>16</v>
      </c>
      <c r="V19" t="s">
        <v>203</v>
      </c>
      <c r="W19">
        <v>40</v>
      </c>
      <c r="X19">
        <v>30</v>
      </c>
      <c r="Y19" t="s">
        <v>205</v>
      </c>
      <c r="Z19" t="s">
        <v>206</v>
      </c>
      <c r="AA19" t="s">
        <v>208</v>
      </c>
    </row>
    <row r="20" spans="1:27" x14ac:dyDescent="0.2">
      <c r="A20">
        <v>11</v>
      </c>
      <c r="B20" t="s">
        <v>44</v>
      </c>
      <c r="C20" t="s">
        <v>122</v>
      </c>
      <c r="D20" t="s">
        <v>182</v>
      </c>
      <c r="E20" t="s">
        <v>189</v>
      </c>
      <c r="F20">
        <v>40</v>
      </c>
      <c r="G20">
        <v>30</v>
      </c>
      <c r="H20">
        <v>2876.9</v>
      </c>
      <c r="I20" t="s">
        <v>195</v>
      </c>
      <c r="J20" t="s">
        <v>196</v>
      </c>
      <c r="K20">
        <v>1406781.190406739</v>
      </c>
      <c r="L20">
        <v>963064.48601432075</v>
      </c>
      <c r="M20">
        <v>0.31541273612289861</v>
      </c>
      <c r="N20">
        <v>600.05364513397217</v>
      </c>
      <c r="O20">
        <v>11</v>
      </c>
      <c r="P20" t="s">
        <v>196</v>
      </c>
      <c r="Q20" t="s">
        <v>198</v>
      </c>
      <c r="R20" t="s">
        <v>198</v>
      </c>
      <c r="S20" t="s">
        <v>200</v>
      </c>
      <c r="T20" t="s">
        <v>202</v>
      </c>
      <c r="U20" t="s">
        <v>16</v>
      </c>
      <c r="V20" t="s">
        <v>203</v>
      </c>
      <c r="W20">
        <v>40</v>
      </c>
      <c r="X20">
        <v>30</v>
      </c>
      <c r="Y20" t="s">
        <v>205</v>
      </c>
      <c r="Z20" t="s">
        <v>207</v>
      </c>
      <c r="AA20" t="s">
        <v>208</v>
      </c>
    </row>
    <row r="21" spans="1:27" x14ac:dyDescent="0.2">
      <c r="A21">
        <v>67</v>
      </c>
      <c r="B21" t="s">
        <v>45</v>
      </c>
      <c r="C21" t="s">
        <v>123</v>
      </c>
      <c r="D21" t="s">
        <v>186</v>
      </c>
      <c r="E21" t="s">
        <v>189</v>
      </c>
      <c r="F21">
        <v>40</v>
      </c>
      <c r="G21">
        <v>30</v>
      </c>
      <c r="H21">
        <v>2839</v>
      </c>
      <c r="I21" t="s">
        <v>195</v>
      </c>
      <c r="J21" t="s">
        <v>196</v>
      </c>
      <c r="K21">
        <v>1386745.441883415</v>
      </c>
      <c r="L21">
        <v>951476.22569140641</v>
      </c>
      <c r="M21">
        <v>0.3138782382445372</v>
      </c>
      <c r="N21">
        <v>600.05142903327942</v>
      </c>
      <c r="O21">
        <v>11</v>
      </c>
      <c r="P21" t="s">
        <v>196</v>
      </c>
      <c r="Q21" t="s">
        <v>198</v>
      </c>
      <c r="R21" t="s">
        <v>198</v>
      </c>
      <c r="S21" t="s">
        <v>200</v>
      </c>
      <c r="T21" t="s">
        <v>202</v>
      </c>
      <c r="U21" t="s">
        <v>16</v>
      </c>
      <c r="V21" t="s">
        <v>203</v>
      </c>
      <c r="W21">
        <v>40</v>
      </c>
      <c r="X21">
        <v>30</v>
      </c>
      <c r="Y21" t="s">
        <v>205</v>
      </c>
      <c r="Z21" t="s">
        <v>207</v>
      </c>
      <c r="AA21" t="s">
        <v>208</v>
      </c>
    </row>
    <row r="22" spans="1:27" x14ac:dyDescent="0.2">
      <c r="A22">
        <v>57</v>
      </c>
      <c r="B22" t="s">
        <v>224</v>
      </c>
      <c r="C22" t="s">
        <v>225</v>
      </c>
      <c r="D22" t="s">
        <v>183</v>
      </c>
      <c r="E22" t="s">
        <v>192</v>
      </c>
      <c r="F22">
        <v>40</v>
      </c>
      <c r="G22">
        <v>30</v>
      </c>
      <c r="H22">
        <v>2441.2249999999999</v>
      </c>
      <c r="I22" t="s">
        <v>195</v>
      </c>
      <c r="J22" t="s">
        <v>196</v>
      </c>
      <c r="K22">
        <v>637002.98343682894</v>
      </c>
      <c r="L22">
        <v>630390.69207408698</v>
      </c>
      <c r="M22">
        <v>1.03803145898412E-2</v>
      </c>
      <c r="N22">
        <v>600.11741781234696</v>
      </c>
      <c r="O22">
        <v>15</v>
      </c>
      <c r="P22" t="s">
        <v>196</v>
      </c>
      <c r="Q22" t="s">
        <v>198</v>
      </c>
      <c r="R22" t="s">
        <v>198</v>
      </c>
      <c r="S22" t="s">
        <v>200</v>
      </c>
      <c r="T22" t="s">
        <v>202</v>
      </c>
      <c r="U22" t="s">
        <v>16</v>
      </c>
      <c r="V22" t="s">
        <v>204</v>
      </c>
      <c r="W22">
        <v>40</v>
      </c>
      <c r="X22">
        <v>30</v>
      </c>
      <c r="Y22" t="s">
        <v>205</v>
      </c>
      <c r="Z22" t="s">
        <v>207</v>
      </c>
      <c r="AA22" t="s">
        <v>208</v>
      </c>
    </row>
    <row r="23" spans="1:27" x14ac:dyDescent="0.2">
      <c r="A23">
        <v>53</v>
      </c>
      <c r="B23" t="s">
        <v>46</v>
      </c>
      <c r="C23" t="s">
        <v>124</v>
      </c>
      <c r="D23" t="s">
        <v>182</v>
      </c>
      <c r="E23" t="s">
        <v>191</v>
      </c>
      <c r="F23">
        <v>40</v>
      </c>
      <c r="G23">
        <v>30</v>
      </c>
      <c r="H23">
        <v>2708.2249999999999</v>
      </c>
      <c r="I23" t="s">
        <v>195</v>
      </c>
      <c r="J23" t="s">
        <v>196</v>
      </c>
      <c r="K23">
        <v>974716.53873793164</v>
      </c>
      <c r="L23">
        <v>749959.11179040861</v>
      </c>
      <c r="M23">
        <v>0.23058747647653549</v>
      </c>
      <c r="N23">
        <v>600.05643701553345</v>
      </c>
      <c r="O23">
        <v>11</v>
      </c>
      <c r="P23" t="s">
        <v>196</v>
      </c>
      <c r="Q23" t="s">
        <v>198</v>
      </c>
      <c r="R23" t="s">
        <v>198</v>
      </c>
      <c r="S23" t="s">
        <v>199</v>
      </c>
      <c r="T23" t="s">
        <v>201</v>
      </c>
      <c r="U23" t="s">
        <v>16</v>
      </c>
      <c r="V23" t="s">
        <v>204</v>
      </c>
      <c r="W23">
        <v>40</v>
      </c>
      <c r="X23">
        <v>30</v>
      </c>
      <c r="Y23" t="s">
        <v>209</v>
      </c>
      <c r="Z23" t="s">
        <v>206</v>
      </c>
      <c r="AA23" t="s">
        <v>208</v>
      </c>
    </row>
    <row r="24" spans="1:27" x14ac:dyDescent="0.2">
      <c r="A24">
        <v>55</v>
      </c>
      <c r="B24" t="s">
        <v>47</v>
      </c>
      <c r="C24" t="s">
        <v>125</v>
      </c>
      <c r="D24" t="s">
        <v>186</v>
      </c>
      <c r="E24" t="s">
        <v>191</v>
      </c>
      <c r="F24">
        <v>40</v>
      </c>
      <c r="G24">
        <v>30</v>
      </c>
      <c r="H24">
        <v>2713.6</v>
      </c>
      <c r="I24" t="s">
        <v>195</v>
      </c>
      <c r="J24" t="s">
        <v>196</v>
      </c>
      <c r="K24">
        <v>960903.83659563877</v>
      </c>
      <c r="L24">
        <v>740032.26591771573</v>
      </c>
      <c r="M24">
        <v>0.2298581421637812</v>
      </c>
      <c r="N24">
        <v>600.05777597427368</v>
      </c>
      <c r="O24">
        <v>11</v>
      </c>
      <c r="P24" t="s">
        <v>196</v>
      </c>
      <c r="Q24" t="s">
        <v>198</v>
      </c>
      <c r="R24" t="s">
        <v>198</v>
      </c>
      <c r="S24" t="s">
        <v>199</v>
      </c>
      <c r="T24" t="s">
        <v>201</v>
      </c>
      <c r="U24" t="s">
        <v>16</v>
      </c>
      <c r="V24" t="s">
        <v>204</v>
      </c>
      <c r="W24">
        <v>40</v>
      </c>
      <c r="X24">
        <v>30</v>
      </c>
      <c r="Y24" t="s">
        <v>209</v>
      </c>
      <c r="Z24" t="s">
        <v>206</v>
      </c>
      <c r="AA24" t="s">
        <v>208</v>
      </c>
    </row>
    <row r="25" spans="1:27" x14ac:dyDescent="0.2">
      <c r="A25">
        <v>27</v>
      </c>
      <c r="B25" t="s">
        <v>48</v>
      </c>
      <c r="C25" t="s">
        <v>126</v>
      </c>
      <c r="D25" t="s">
        <v>185</v>
      </c>
      <c r="E25" t="s">
        <v>191</v>
      </c>
      <c r="F25">
        <v>40</v>
      </c>
      <c r="G25">
        <v>30</v>
      </c>
      <c r="H25">
        <v>2709.7</v>
      </c>
      <c r="I25" t="s">
        <v>195</v>
      </c>
      <c r="J25" t="s">
        <v>196</v>
      </c>
      <c r="K25">
        <v>953131.29181505879</v>
      </c>
      <c r="L25">
        <v>747511.28784597374</v>
      </c>
      <c r="M25">
        <v>0.21573103908646249</v>
      </c>
      <c r="N25">
        <v>600.0529408454895</v>
      </c>
      <c r="O25">
        <v>11</v>
      </c>
      <c r="P25" t="s">
        <v>196</v>
      </c>
      <c r="Q25" t="s">
        <v>198</v>
      </c>
      <c r="R25" t="s">
        <v>198</v>
      </c>
      <c r="S25" t="s">
        <v>199</v>
      </c>
      <c r="T25" t="s">
        <v>201</v>
      </c>
      <c r="U25" t="s">
        <v>16</v>
      </c>
      <c r="V25" t="s">
        <v>204</v>
      </c>
      <c r="W25">
        <v>40</v>
      </c>
      <c r="X25">
        <v>30</v>
      </c>
      <c r="Y25" t="s">
        <v>209</v>
      </c>
      <c r="Z25" t="s">
        <v>206</v>
      </c>
      <c r="AA25" t="s">
        <v>208</v>
      </c>
    </row>
    <row r="26" spans="1:27" x14ac:dyDescent="0.2">
      <c r="A26">
        <v>69</v>
      </c>
      <c r="B26" t="s">
        <v>226</v>
      </c>
      <c r="C26" t="s">
        <v>227</v>
      </c>
      <c r="D26" t="s">
        <v>183</v>
      </c>
      <c r="E26" t="s">
        <v>193</v>
      </c>
      <c r="F26">
        <v>40</v>
      </c>
      <c r="G26">
        <v>30</v>
      </c>
      <c r="H26">
        <v>2267.3000000000002</v>
      </c>
      <c r="I26" t="s">
        <v>195</v>
      </c>
      <c r="J26" t="s">
        <v>196</v>
      </c>
      <c r="K26">
        <v>688975.93415178999</v>
      </c>
      <c r="L26">
        <v>669195.01730200998</v>
      </c>
      <c r="M26">
        <v>2.87106063786297E-2</v>
      </c>
      <c r="N26">
        <v>600.08884191513005</v>
      </c>
      <c r="O26">
        <v>15</v>
      </c>
      <c r="P26" t="s">
        <v>196</v>
      </c>
      <c r="Q26" t="s">
        <v>198</v>
      </c>
      <c r="R26" t="s">
        <v>198</v>
      </c>
      <c r="S26" t="s">
        <v>199</v>
      </c>
      <c r="T26" t="s">
        <v>202</v>
      </c>
      <c r="U26" t="s">
        <v>16</v>
      </c>
      <c r="V26" t="s">
        <v>204</v>
      </c>
      <c r="W26">
        <v>40</v>
      </c>
      <c r="X26">
        <v>30</v>
      </c>
      <c r="Y26" t="s">
        <v>209</v>
      </c>
      <c r="Z26" t="s">
        <v>207</v>
      </c>
      <c r="AA26" t="s">
        <v>208</v>
      </c>
    </row>
    <row r="27" spans="1:27" x14ac:dyDescent="0.2">
      <c r="A27">
        <v>71</v>
      </c>
      <c r="B27" t="s">
        <v>49</v>
      </c>
      <c r="C27" t="s">
        <v>127</v>
      </c>
      <c r="D27" t="s">
        <v>186</v>
      </c>
      <c r="E27" t="s">
        <v>193</v>
      </c>
      <c r="F27">
        <v>40</v>
      </c>
      <c r="G27">
        <v>30</v>
      </c>
      <c r="H27">
        <v>2647.85</v>
      </c>
      <c r="I27" t="s">
        <v>195</v>
      </c>
      <c r="J27" t="s">
        <v>196</v>
      </c>
      <c r="K27">
        <v>870326.51361248805</v>
      </c>
      <c r="L27">
        <v>819976.22242586233</v>
      </c>
      <c r="M27">
        <v>5.7852185816602703E-2</v>
      </c>
      <c r="N27">
        <v>600.06144785881042</v>
      </c>
      <c r="O27">
        <v>11</v>
      </c>
      <c r="P27" t="s">
        <v>196</v>
      </c>
      <c r="Q27" t="s">
        <v>198</v>
      </c>
      <c r="R27" t="s">
        <v>198</v>
      </c>
      <c r="S27" t="s">
        <v>199</v>
      </c>
      <c r="T27" t="s">
        <v>202</v>
      </c>
      <c r="U27" t="s">
        <v>16</v>
      </c>
      <c r="V27" t="s">
        <v>204</v>
      </c>
      <c r="W27">
        <v>40</v>
      </c>
      <c r="X27">
        <v>30</v>
      </c>
      <c r="Y27" t="s">
        <v>209</v>
      </c>
      <c r="Z27" t="s">
        <v>207</v>
      </c>
      <c r="AA27" t="s">
        <v>208</v>
      </c>
    </row>
    <row r="28" spans="1:27" x14ac:dyDescent="0.2">
      <c r="A28">
        <v>77</v>
      </c>
      <c r="B28" t="s">
        <v>50</v>
      </c>
      <c r="C28" t="s">
        <v>128</v>
      </c>
      <c r="D28" t="s">
        <v>182</v>
      </c>
      <c r="E28" t="s">
        <v>193</v>
      </c>
      <c r="F28">
        <v>40</v>
      </c>
      <c r="G28">
        <v>30</v>
      </c>
      <c r="H28">
        <v>2721.5</v>
      </c>
      <c r="I28" t="s">
        <v>195</v>
      </c>
      <c r="J28" t="s">
        <v>196</v>
      </c>
      <c r="K28">
        <v>810296.33774502377</v>
      </c>
      <c r="L28">
        <v>768601.69974705926</v>
      </c>
      <c r="M28">
        <v>5.14560365828588E-2</v>
      </c>
      <c r="N28">
        <v>600.05051898956299</v>
      </c>
      <c r="O28">
        <v>11</v>
      </c>
      <c r="P28" t="s">
        <v>196</v>
      </c>
      <c r="Q28" t="s">
        <v>198</v>
      </c>
      <c r="R28" t="s">
        <v>198</v>
      </c>
      <c r="S28" t="s">
        <v>199</v>
      </c>
      <c r="T28" t="s">
        <v>202</v>
      </c>
      <c r="U28" t="s">
        <v>16</v>
      </c>
      <c r="V28" t="s">
        <v>204</v>
      </c>
      <c r="W28">
        <v>40</v>
      </c>
      <c r="X28">
        <v>30</v>
      </c>
      <c r="Y28" t="s">
        <v>209</v>
      </c>
      <c r="Z28" t="s">
        <v>207</v>
      </c>
      <c r="AA28" t="s">
        <v>208</v>
      </c>
    </row>
    <row r="29" spans="1:27" x14ac:dyDescent="0.2">
      <c r="A29">
        <v>61</v>
      </c>
      <c r="B29" t="s">
        <v>51</v>
      </c>
      <c r="C29" t="s">
        <v>129</v>
      </c>
      <c r="D29" t="s">
        <v>184</v>
      </c>
      <c r="E29" t="s">
        <v>192</v>
      </c>
      <c r="F29">
        <v>40</v>
      </c>
      <c r="G29">
        <v>30</v>
      </c>
      <c r="H29">
        <v>2877.0749999999998</v>
      </c>
      <c r="I29" t="s">
        <v>195</v>
      </c>
      <c r="J29" t="s">
        <v>196</v>
      </c>
      <c r="K29">
        <v>785925.00273362792</v>
      </c>
      <c r="L29">
        <v>746588.70631902001</v>
      </c>
      <c r="M29">
        <v>5.0050954324887501E-2</v>
      </c>
      <c r="N29">
        <v>600.05131912231445</v>
      </c>
      <c r="O29">
        <v>11</v>
      </c>
      <c r="P29" t="s">
        <v>196</v>
      </c>
      <c r="Q29" t="s">
        <v>198</v>
      </c>
      <c r="R29" t="s">
        <v>198</v>
      </c>
      <c r="S29" t="s">
        <v>200</v>
      </c>
      <c r="T29" t="s">
        <v>202</v>
      </c>
      <c r="U29" t="s">
        <v>16</v>
      </c>
      <c r="V29" t="s">
        <v>204</v>
      </c>
      <c r="W29">
        <v>40</v>
      </c>
      <c r="X29">
        <v>30</v>
      </c>
      <c r="Y29" t="s">
        <v>205</v>
      </c>
      <c r="Z29" t="s">
        <v>207</v>
      </c>
      <c r="AA29" t="s">
        <v>208</v>
      </c>
    </row>
    <row r="30" spans="1:27" x14ac:dyDescent="0.2">
      <c r="A30">
        <v>47</v>
      </c>
      <c r="B30" t="s">
        <v>52</v>
      </c>
      <c r="C30" t="s">
        <v>130</v>
      </c>
      <c r="D30" t="s">
        <v>185</v>
      </c>
      <c r="E30" t="s">
        <v>192</v>
      </c>
      <c r="F30">
        <v>40</v>
      </c>
      <c r="G30">
        <v>30</v>
      </c>
      <c r="H30">
        <v>2874.3249999999998</v>
      </c>
      <c r="I30" t="s">
        <v>195</v>
      </c>
      <c r="J30" t="s">
        <v>196</v>
      </c>
      <c r="K30">
        <v>775555.59734701901</v>
      </c>
      <c r="L30">
        <v>743993.58798644959</v>
      </c>
      <c r="M30">
        <v>4.0695998415245897E-2</v>
      </c>
      <c r="N30">
        <v>600.04736185073853</v>
      </c>
      <c r="O30">
        <v>11</v>
      </c>
      <c r="P30" t="s">
        <v>196</v>
      </c>
      <c r="Q30" t="s">
        <v>198</v>
      </c>
      <c r="R30" t="s">
        <v>198</v>
      </c>
      <c r="S30" t="s">
        <v>200</v>
      </c>
      <c r="T30" t="s">
        <v>202</v>
      </c>
      <c r="U30" t="s">
        <v>16</v>
      </c>
      <c r="V30" t="s">
        <v>204</v>
      </c>
      <c r="W30">
        <v>40</v>
      </c>
      <c r="X30">
        <v>30</v>
      </c>
      <c r="Y30" t="s">
        <v>205</v>
      </c>
      <c r="Z30" t="s">
        <v>207</v>
      </c>
      <c r="AA30" t="s">
        <v>208</v>
      </c>
    </row>
    <row r="31" spans="1:27" x14ac:dyDescent="0.2">
      <c r="A31">
        <v>59</v>
      </c>
      <c r="B31" t="s">
        <v>53</v>
      </c>
      <c r="C31" t="s">
        <v>131</v>
      </c>
      <c r="D31" t="s">
        <v>183</v>
      </c>
      <c r="E31" t="s">
        <v>194</v>
      </c>
      <c r="F31">
        <v>40</v>
      </c>
      <c r="G31">
        <v>30</v>
      </c>
      <c r="H31">
        <v>2477.9499999999998</v>
      </c>
      <c r="I31" t="s">
        <v>195</v>
      </c>
      <c r="J31" t="s">
        <v>196</v>
      </c>
      <c r="K31">
        <v>684690.56235647376</v>
      </c>
      <c r="L31">
        <v>658814.10077842465</v>
      </c>
      <c r="M31">
        <v>3.7792928661074303E-2</v>
      </c>
      <c r="N31">
        <v>600.04493594169617</v>
      </c>
      <c r="O31">
        <v>11</v>
      </c>
      <c r="P31" t="s">
        <v>196</v>
      </c>
      <c r="Q31" t="s">
        <v>198</v>
      </c>
      <c r="R31" t="s">
        <v>198</v>
      </c>
      <c r="S31" t="s">
        <v>200</v>
      </c>
      <c r="T31" t="s">
        <v>201</v>
      </c>
      <c r="U31" t="s">
        <v>16</v>
      </c>
      <c r="V31" t="s">
        <v>204</v>
      </c>
      <c r="W31">
        <v>40</v>
      </c>
      <c r="X31">
        <v>30</v>
      </c>
      <c r="Y31" t="s">
        <v>205</v>
      </c>
      <c r="Z31" t="s">
        <v>206</v>
      </c>
      <c r="AA31" t="s">
        <v>208</v>
      </c>
    </row>
    <row r="32" spans="1:27" x14ac:dyDescent="0.2">
      <c r="A32">
        <v>25</v>
      </c>
      <c r="B32" t="s">
        <v>54</v>
      </c>
      <c r="C32" t="s">
        <v>132</v>
      </c>
      <c r="D32" t="s">
        <v>184</v>
      </c>
      <c r="E32" t="s">
        <v>191</v>
      </c>
      <c r="F32">
        <v>40</v>
      </c>
      <c r="G32">
        <v>30</v>
      </c>
      <c r="H32">
        <v>2750.1750000000002</v>
      </c>
      <c r="I32" t="s">
        <v>195</v>
      </c>
      <c r="J32" t="s">
        <v>196</v>
      </c>
      <c r="K32">
        <v>827112.027161201</v>
      </c>
      <c r="L32">
        <v>798013.62906967627</v>
      </c>
      <c r="M32">
        <v>3.51807217595368E-2</v>
      </c>
      <c r="N32">
        <v>600.05255508422852</v>
      </c>
      <c r="O32">
        <v>11</v>
      </c>
      <c r="P32" t="s">
        <v>196</v>
      </c>
      <c r="Q32" t="s">
        <v>198</v>
      </c>
      <c r="R32" t="s">
        <v>198</v>
      </c>
      <c r="S32" t="s">
        <v>199</v>
      </c>
      <c r="T32" t="s">
        <v>201</v>
      </c>
      <c r="U32" t="s">
        <v>16</v>
      </c>
      <c r="V32" t="s">
        <v>204</v>
      </c>
      <c r="W32">
        <v>40</v>
      </c>
      <c r="X32">
        <v>30</v>
      </c>
      <c r="Y32" t="s">
        <v>209</v>
      </c>
      <c r="Z32" t="s">
        <v>206</v>
      </c>
      <c r="AA32" t="s">
        <v>208</v>
      </c>
    </row>
    <row r="33" spans="1:27" x14ac:dyDescent="0.2">
      <c r="A33">
        <v>30</v>
      </c>
      <c r="B33" t="s">
        <v>55</v>
      </c>
      <c r="C33" t="s">
        <v>133</v>
      </c>
      <c r="D33" t="s">
        <v>182</v>
      </c>
      <c r="E33" t="s">
        <v>187</v>
      </c>
      <c r="F33">
        <v>40</v>
      </c>
      <c r="G33">
        <v>30</v>
      </c>
      <c r="H33">
        <v>2700.375</v>
      </c>
      <c r="I33" t="s">
        <v>195</v>
      </c>
      <c r="J33" t="s">
        <v>197</v>
      </c>
      <c r="K33">
        <v>1315537.7914807759</v>
      </c>
      <c r="L33">
        <v>1272755.250283194</v>
      </c>
      <c r="M33">
        <v>3.2520951868228801E-2</v>
      </c>
      <c r="N33">
        <v>600.04959893226624</v>
      </c>
      <c r="O33">
        <v>11</v>
      </c>
      <c r="P33" t="s">
        <v>197</v>
      </c>
      <c r="Q33" t="s">
        <v>198</v>
      </c>
      <c r="R33" t="s">
        <v>198</v>
      </c>
      <c r="S33" t="s">
        <v>199</v>
      </c>
      <c r="T33" t="s">
        <v>201</v>
      </c>
      <c r="U33" t="s">
        <v>16</v>
      </c>
      <c r="V33" t="s">
        <v>203</v>
      </c>
      <c r="W33">
        <v>40</v>
      </c>
      <c r="X33">
        <v>30</v>
      </c>
      <c r="Y33" t="s">
        <v>209</v>
      </c>
      <c r="Z33" t="s">
        <v>206</v>
      </c>
      <c r="AA33" t="s">
        <v>208</v>
      </c>
    </row>
    <row r="34" spans="1:27" x14ac:dyDescent="0.2">
      <c r="A34">
        <v>28</v>
      </c>
      <c r="B34" t="s">
        <v>56</v>
      </c>
      <c r="C34" t="s">
        <v>134</v>
      </c>
      <c r="D34" t="s">
        <v>184</v>
      </c>
      <c r="E34" t="s">
        <v>187</v>
      </c>
      <c r="F34">
        <v>40</v>
      </c>
      <c r="G34">
        <v>30</v>
      </c>
      <c r="H34">
        <v>2691.2750000000001</v>
      </c>
      <c r="I34" t="s">
        <v>195</v>
      </c>
      <c r="J34" t="s">
        <v>197</v>
      </c>
      <c r="K34">
        <v>1404181.8915224411</v>
      </c>
      <c r="L34">
        <v>1361396.479255317</v>
      </c>
      <c r="M34">
        <v>3.0469992901514701E-2</v>
      </c>
      <c r="N34">
        <v>600.04653596878052</v>
      </c>
      <c r="O34">
        <v>11</v>
      </c>
      <c r="P34" t="s">
        <v>197</v>
      </c>
      <c r="Q34" t="s">
        <v>198</v>
      </c>
      <c r="R34" t="s">
        <v>198</v>
      </c>
      <c r="S34" t="s">
        <v>199</v>
      </c>
      <c r="T34" t="s">
        <v>201</v>
      </c>
      <c r="U34" t="s">
        <v>16</v>
      </c>
      <c r="V34" t="s">
        <v>203</v>
      </c>
      <c r="W34">
        <v>40</v>
      </c>
      <c r="X34">
        <v>30</v>
      </c>
      <c r="Y34" t="s">
        <v>209</v>
      </c>
      <c r="Z34" t="s">
        <v>206</v>
      </c>
      <c r="AA34" t="s">
        <v>208</v>
      </c>
    </row>
    <row r="35" spans="1:27" x14ac:dyDescent="0.2">
      <c r="A35">
        <v>10</v>
      </c>
      <c r="B35" t="s">
        <v>57</v>
      </c>
      <c r="C35" t="s">
        <v>135</v>
      </c>
      <c r="D35" t="s">
        <v>182</v>
      </c>
      <c r="E35" t="s">
        <v>189</v>
      </c>
      <c r="F35">
        <v>40</v>
      </c>
      <c r="G35">
        <v>30</v>
      </c>
      <c r="H35">
        <v>2876.9</v>
      </c>
      <c r="I35" t="s">
        <v>195</v>
      </c>
      <c r="J35" t="s">
        <v>197</v>
      </c>
      <c r="K35">
        <v>1073242.154917402</v>
      </c>
      <c r="L35">
        <v>1041102.175333704</v>
      </c>
      <c r="M35">
        <v>2.99466242883203E-2</v>
      </c>
      <c r="N35">
        <v>600.04220509529114</v>
      </c>
      <c r="O35">
        <v>11</v>
      </c>
      <c r="P35" t="s">
        <v>197</v>
      </c>
      <c r="Q35" t="s">
        <v>198</v>
      </c>
      <c r="R35" t="s">
        <v>198</v>
      </c>
      <c r="S35" t="s">
        <v>200</v>
      </c>
      <c r="T35" t="s">
        <v>202</v>
      </c>
      <c r="U35" t="s">
        <v>16</v>
      </c>
      <c r="V35" t="s">
        <v>203</v>
      </c>
      <c r="W35">
        <v>40</v>
      </c>
      <c r="X35">
        <v>30</v>
      </c>
      <c r="Y35" t="s">
        <v>205</v>
      </c>
      <c r="Z35" t="s">
        <v>207</v>
      </c>
      <c r="AA35" t="s">
        <v>208</v>
      </c>
    </row>
    <row r="36" spans="1:27" x14ac:dyDescent="0.2">
      <c r="A36">
        <v>49</v>
      </c>
      <c r="B36" t="s">
        <v>58</v>
      </c>
      <c r="C36" t="s">
        <v>136</v>
      </c>
      <c r="D36" t="s">
        <v>182</v>
      </c>
      <c r="E36" t="s">
        <v>192</v>
      </c>
      <c r="F36">
        <v>40</v>
      </c>
      <c r="G36">
        <v>30</v>
      </c>
      <c r="H36">
        <v>2862.65</v>
      </c>
      <c r="I36" t="s">
        <v>195</v>
      </c>
      <c r="J36" t="s">
        <v>196</v>
      </c>
      <c r="K36">
        <v>765661.3214976365</v>
      </c>
      <c r="L36">
        <v>743276.04709494091</v>
      </c>
      <c r="M36">
        <v>2.9236522433848298E-2</v>
      </c>
      <c r="N36">
        <v>600.05037498474121</v>
      </c>
      <c r="O36">
        <v>11</v>
      </c>
      <c r="P36" t="s">
        <v>196</v>
      </c>
      <c r="Q36" t="s">
        <v>198</v>
      </c>
      <c r="R36" t="s">
        <v>198</v>
      </c>
      <c r="S36" t="s">
        <v>200</v>
      </c>
      <c r="T36" t="s">
        <v>202</v>
      </c>
      <c r="U36" t="s">
        <v>16</v>
      </c>
      <c r="V36" t="s">
        <v>204</v>
      </c>
      <c r="W36">
        <v>40</v>
      </c>
      <c r="X36">
        <v>30</v>
      </c>
      <c r="Y36" t="s">
        <v>205</v>
      </c>
      <c r="Z36" t="s">
        <v>207</v>
      </c>
      <c r="AA36" t="s">
        <v>208</v>
      </c>
    </row>
    <row r="37" spans="1:27" x14ac:dyDescent="0.2">
      <c r="A37">
        <v>0</v>
      </c>
      <c r="B37" t="s">
        <v>59</v>
      </c>
      <c r="C37" t="s">
        <v>137</v>
      </c>
      <c r="D37" t="s">
        <v>185</v>
      </c>
      <c r="E37" t="s">
        <v>190</v>
      </c>
      <c r="F37">
        <v>40</v>
      </c>
      <c r="G37">
        <v>30</v>
      </c>
      <c r="H37">
        <v>2908.9</v>
      </c>
      <c r="I37" t="s">
        <v>195</v>
      </c>
      <c r="J37" t="s">
        <v>197</v>
      </c>
      <c r="K37">
        <v>1123761.4321893351</v>
      </c>
      <c r="L37">
        <v>1091074.0043062291</v>
      </c>
      <c r="M37">
        <v>2.9087515327362E-2</v>
      </c>
      <c r="N37">
        <v>600.02987694740295</v>
      </c>
      <c r="O37">
        <v>11</v>
      </c>
      <c r="P37" t="s">
        <v>197</v>
      </c>
      <c r="Q37" t="s">
        <v>198</v>
      </c>
      <c r="R37" t="s">
        <v>198</v>
      </c>
      <c r="S37" t="s">
        <v>200</v>
      </c>
      <c r="T37" t="s">
        <v>201</v>
      </c>
      <c r="U37" t="s">
        <v>16</v>
      </c>
      <c r="V37" t="s">
        <v>203</v>
      </c>
      <c r="W37">
        <v>40</v>
      </c>
      <c r="X37">
        <v>30</v>
      </c>
      <c r="Y37" t="s">
        <v>205</v>
      </c>
      <c r="Z37" t="s">
        <v>206</v>
      </c>
      <c r="AA37" t="s">
        <v>208</v>
      </c>
    </row>
    <row r="38" spans="1:27" x14ac:dyDescent="0.2">
      <c r="A38">
        <v>4</v>
      </c>
      <c r="B38" t="s">
        <v>60</v>
      </c>
      <c r="C38" t="s">
        <v>138</v>
      </c>
      <c r="D38" t="s">
        <v>186</v>
      </c>
      <c r="E38" t="s">
        <v>187</v>
      </c>
      <c r="F38">
        <v>40</v>
      </c>
      <c r="G38">
        <v>30</v>
      </c>
      <c r="H38">
        <v>2686.125</v>
      </c>
      <c r="I38" t="s">
        <v>195</v>
      </c>
      <c r="J38" t="s">
        <v>197</v>
      </c>
      <c r="K38">
        <v>1351439.528453636</v>
      </c>
      <c r="L38">
        <v>1312194.7565372961</v>
      </c>
      <c r="M38">
        <v>2.9039236377261399E-2</v>
      </c>
      <c r="N38">
        <v>600.03681397438049</v>
      </c>
      <c r="O38">
        <v>11</v>
      </c>
      <c r="P38" t="s">
        <v>197</v>
      </c>
      <c r="Q38" t="s">
        <v>198</v>
      </c>
      <c r="R38" t="s">
        <v>198</v>
      </c>
      <c r="S38" t="s">
        <v>199</v>
      </c>
      <c r="T38" t="s">
        <v>201</v>
      </c>
      <c r="U38" t="s">
        <v>16</v>
      </c>
      <c r="V38" t="s">
        <v>203</v>
      </c>
      <c r="W38">
        <v>40</v>
      </c>
      <c r="X38">
        <v>30</v>
      </c>
      <c r="Y38" t="s">
        <v>209</v>
      </c>
      <c r="Z38" t="s">
        <v>206</v>
      </c>
      <c r="AA38" t="s">
        <v>208</v>
      </c>
    </row>
    <row r="39" spans="1:27" x14ac:dyDescent="0.2">
      <c r="A39">
        <v>37</v>
      </c>
      <c r="B39" t="s">
        <v>61</v>
      </c>
      <c r="C39" t="s">
        <v>139</v>
      </c>
      <c r="D39" t="s">
        <v>182</v>
      </c>
      <c r="E39" t="s">
        <v>188</v>
      </c>
      <c r="F39">
        <v>40</v>
      </c>
      <c r="G39">
        <v>30</v>
      </c>
      <c r="H39">
        <v>2608.0749999999998</v>
      </c>
      <c r="I39" t="s">
        <v>195</v>
      </c>
      <c r="J39" t="s">
        <v>196</v>
      </c>
      <c r="K39">
        <v>1683435.5218786481</v>
      </c>
      <c r="L39">
        <v>1634686.0480068631</v>
      </c>
      <c r="M39">
        <v>2.89583255421525E-2</v>
      </c>
      <c r="N39">
        <v>600.13743495941162</v>
      </c>
      <c r="O39">
        <v>11</v>
      </c>
      <c r="P39" t="s">
        <v>196</v>
      </c>
      <c r="Q39" t="s">
        <v>198</v>
      </c>
      <c r="R39" t="s">
        <v>198</v>
      </c>
      <c r="S39" t="s">
        <v>199</v>
      </c>
      <c r="T39" t="s">
        <v>202</v>
      </c>
      <c r="U39" t="s">
        <v>16</v>
      </c>
      <c r="V39" t="s">
        <v>203</v>
      </c>
      <c r="W39">
        <v>40</v>
      </c>
      <c r="X39">
        <v>30</v>
      </c>
      <c r="Y39" t="s">
        <v>209</v>
      </c>
      <c r="Z39" t="s">
        <v>207</v>
      </c>
      <c r="AA39" t="s">
        <v>208</v>
      </c>
    </row>
    <row r="40" spans="1:27" x14ac:dyDescent="0.2">
      <c r="A40">
        <v>66</v>
      </c>
      <c r="B40" t="s">
        <v>62</v>
      </c>
      <c r="C40" t="s">
        <v>140</v>
      </c>
      <c r="D40" t="s">
        <v>186</v>
      </c>
      <c r="E40" t="s">
        <v>189</v>
      </c>
      <c r="F40">
        <v>40</v>
      </c>
      <c r="G40">
        <v>30</v>
      </c>
      <c r="H40">
        <v>2839</v>
      </c>
      <c r="I40" t="s">
        <v>195</v>
      </c>
      <c r="J40" t="s">
        <v>197</v>
      </c>
      <c r="K40">
        <v>1095785.692421095</v>
      </c>
      <c r="L40">
        <v>1065099.3090087229</v>
      </c>
      <c r="M40">
        <v>2.8004000804730301E-2</v>
      </c>
      <c r="N40">
        <v>600.04105710983276</v>
      </c>
      <c r="O40">
        <v>11</v>
      </c>
      <c r="P40" t="s">
        <v>197</v>
      </c>
      <c r="Q40" t="s">
        <v>198</v>
      </c>
      <c r="R40" t="s">
        <v>198</v>
      </c>
      <c r="S40" t="s">
        <v>200</v>
      </c>
      <c r="T40" t="s">
        <v>202</v>
      </c>
      <c r="U40" t="s">
        <v>16</v>
      </c>
      <c r="V40" t="s">
        <v>203</v>
      </c>
      <c r="W40">
        <v>40</v>
      </c>
      <c r="X40">
        <v>30</v>
      </c>
      <c r="Y40" t="s">
        <v>205</v>
      </c>
      <c r="Z40" t="s">
        <v>207</v>
      </c>
      <c r="AA40" t="s">
        <v>208</v>
      </c>
    </row>
    <row r="41" spans="1:27" x14ac:dyDescent="0.2">
      <c r="A41">
        <v>22</v>
      </c>
      <c r="B41" t="s">
        <v>63</v>
      </c>
      <c r="C41" t="s">
        <v>141</v>
      </c>
      <c r="D41" t="s">
        <v>183</v>
      </c>
      <c r="E41" t="s">
        <v>188</v>
      </c>
      <c r="F41">
        <v>40</v>
      </c>
      <c r="G41">
        <v>30</v>
      </c>
      <c r="H41">
        <v>2270.9</v>
      </c>
      <c r="I41" t="s">
        <v>195</v>
      </c>
      <c r="J41" t="s">
        <v>197</v>
      </c>
      <c r="K41">
        <v>1124918.394662621</v>
      </c>
      <c r="L41">
        <v>1093419.4170948879</v>
      </c>
      <c r="M41">
        <v>2.8001122318904399E-2</v>
      </c>
      <c r="N41">
        <v>600.11290502548218</v>
      </c>
      <c r="O41">
        <v>11</v>
      </c>
      <c r="P41" t="s">
        <v>197</v>
      </c>
      <c r="Q41" t="s">
        <v>198</v>
      </c>
      <c r="R41" t="s">
        <v>198</v>
      </c>
      <c r="S41" t="s">
        <v>199</v>
      </c>
      <c r="T41" t="s">
        <v>202</v>
      </c>
      <c r="U41" t="s">
        <v>16</v>
      </c>
      <c r="V41" t="s">
        <v>203</v>
      </c>
      <c r="W41">
        <v>40</v>
      </c>
      <c r="X41">
        <v>30</v>
      </c>
      <c r="Y41" t="s">
        <v>209</v>
      </c>
      <c r="Z41" t="s">
        <v>207</v>
      </c>
      <c r="AA41" t="s">
        <v>208</v>
      </c>
    </row>
    <row r="42" spans="1:27" x14ac:dyDescent="0.2">
      <c r="A42">
        <v>44</v>
      </c>
      <c r="B42" t="s">
        <v>64</v>
      </c>
      <c r="C42" t="s">
        <v>142</v>
      </c>
      <c r="D42" t="s">
        <v>185</v>
      </c>
      <c r="E42" t="s">
        <v>189</v>
      </c>
      <c r="F42">
        <v>40</v>
      </c>
      <c r="G42">
        <v>30</v>
      </c>
      <c r="H42">
        <v>2884.45</v>
      </c>
      <c r="I42" t="s">
        <v>195</v>
      </c>
      <c r="J42" t="s">
        <v>197</v>
      </c>
      <c r="K42">
        <v>1099296.7529525589</v>
      </c>
      <c r="L42">
        <v>1069635.7598102919</v>
      </c>
      <c r="M42">
        <v>2.6981789096166602E-2</v>
      </c>
      <c r="N42">
        <v>600.03379607200623</v>
      </c>
      <c r="O42">
        <v>11</v>
      </c>
      <c r="P42" t="s">
        <v>197</v>
      </c>
      <c r="Q42" t="s">
        <v>198</v>
      </c>
      <c r="R42" t="s">
        <v>198</v>
      </c>
      <c r="S42" t="s">
        <v>200</v>
      </c>
      <c r="T42" t="s">
        <v>202</v>
      </c>
      <c r="U42" t="s">
        <v>16</v>
      </c>
      <c r="V42" t="s">
        <v>203</v>
      </c>
      <c r="W42">
        <v>40</v>
      </c>
      <c r="X42">
        <v>30</v>
      </c>
      <c r="Y42" t="s">
        <v>205</v>
      </c>
      <c r="Z42" t="s">
        <v>207</v>
      </c>
      <c r="AA42" t="s">
        <v>208</v>
      </c>
    </row>
    <row r="43" spans="1:27" x14ac:dyDescent="0.2">
      <c r="A43">
        <v>2</v>
      </c>
      <c r="B43" t="s">
        <v>65</v>
      </c>
      <c r="C43" t="s">
        <v>143</v>
      </c>
      <c r="D43" t="s">
        <v>184</v>
      </c>
      <c r="E43" t="s">
        <v>190</v>
      </c>
      <c r="F43">
        <v>40</v>
      </c>
      <c r="G43">
        <v>30</v>
      </c>
      <c r="H43">
        <v>2962.7249999999999</v>
      </c>
      <c r="I43" t="s">
        <v>195</v>
      </c>
      <c r="J43" t="s">
        <v>197</v>
      </c>
      <c r="K43">
        <v>1106092.935223625</v>
      </c>
      <c r="L43">
        <v>1076426.864861377</v>
      </c>
      <c r="M43">
        <v>2.68205947416617E-2</v>
      </c>
      <c r="N43">
        <v>600.04512214660645</v>
      </c>
      <c r="O43">
        <v>11</v>
      </c>
      <c r="P43" t="s">
        <v>197</v>
      </c>
      <c r="Q43" t="s">
        <v>198</v>
      </c>
      <c r="R43" t="s">
        <v>198</v>
      </c>
      <c r="S43" t="s">
        <v>200</v>
      </c>
      <c r="T43" t="s">
        <v>201</v>
      </c>
      <c r="U43" t="s">
        <v>16</v>
      </c>
      <c r="V43" t="s">
        <v>203</v>
      </c>
      <c r="W43">
        <v>40</v>
      </c>
      <c r="X43">
        <v>30</v>
      </c>
      <c r="Y43" t="s">
        <v>205</v>
      </c>
      <c r="Z43" t="s">
        <v>206</v>
      </c>
      <c r="AA43" t="s">
        <v>208</v>
      </c>
    </row>
    <row r="44" spans="1:27" x14ac:dyDescent="0.2">
      <c r="A44">
        <v>35</v>
      </c>
      <c r="B44" t="s">
        <v>66</v>
      </c>
      <c r="C44" t="s">
        <v>144</v>
      </c>
      <c r="D44" t="s">
        <v>184</v>
      </c>
      <c r="E44" t="s">
        <v>193</v>
      </c>
      <c r="F44">
        <v>40</v>
      </c>
      <c r="G44">
        <v>30</v>
      </c>
      <c r="H44">
        <v>2639.9250000000002</v>
      </c>
      <c r="I44" t="s">
        <v>195</v>
      </c>
      <c r="J44" t="s">
        <v>196</v>
      </c>
      <c r="K44">
        <v>848182.46947023587</v>
      </c>
      <c r="L44">
        <v>825750.40503655572</v>
      </c>
      <c r="M44">
        <v>2.6447215358849498E-2</v>
      </c>
      <c r="N44">
        <v>600.19772291183472</v>
      </c>
      <c r="O44">
        <v>11</v>
      </c>
      <c r="P44" t="s">
        <v>196</v>
      </c>
      <c r="Q44" t="s">
        <v>198</v>
      </c>
      <c r="R44" t="s">
        <v>198</v>
      </c>
      <c r="S44" t="s">
        <v>199</v>
      </c>
      <c r="T44" t="s">
        <v>202</v>
      </c>
      <c r="U44" t="s">
        <v>16</v>
      </c>
      <c r="V44" t="s">
        <v>204</v>
      </c>
      <c r="W44">
        <v>40</v>
      </c>
      <c r="X44">
        <v>30</v>
      </c>
      <c r="Y44" t="s">
        <v>209</v>
      </c>
      <c r="Z44" t="s">
        <v>207</v>
      </c>
      <c r="AA44" t="s">
        <v>208</v>
      </c>
    </row>
    <row r="45" spans="1:27" x14ac:dyDescent="0.2">
      <c r="A45">
        <v>41</v>
      </c>
      <c r="B45" t="s">
        <v>67</v>
      </c>
      <c r="C45" t="s">
        <v>145</v>
      </c>
      <c r="D45" t="s">
        <v>185</v>
      </c>
      <c r="E45" t="s">
        <v>193</v>
      </c>
      <c r="F45">
        <v>40</v>
      </c>
      <c r="G45">
        <v>30</v>
      </c>
      <c r="H45">
        <v>2625.9749999999999</v>
      </c>
      <c r="I45" t="s">
        <v>195</v>
      </c>
      <c r="J45" t="s">
        <v>196</v>
      </c>
      <c r="K45">
        <v>880391.9572332924</v>
      </c>
      <c r="L45">
        <v>857794.53218788118</v>
      </c>
      <c r="M45">
        <v>2.5667459657884101E-2</v>
      </c>
      <c r="N45">
        <v>600.14529514312744</v>
      </c>
      <c r="O45">
        <v>11</v>
      </c>
      <c r="P45" t="s">
        <v>196</v>
      </c>
      <c r="Q45" t="s">
        <v>198</v>
      </c>
      <c r="R45" t="s">
        <v>198</v>
      </c>
      <c r="S45" t="s">
        <v>199</v>
      </c>
      <c r="T45" t="s">
        <v>202</v>
      </c>
      <c r="U45" t="s">
        <v>16</v>
      </c>
      <c r="V45" t="s">
        <v>204</v>
      </c>
      <c r="W45">
        <v>40</v>
      </c>
      <c r="X45">
        <v>30</v>
      </c>
      <c r="Y45" t="s">
        <v>209</v>
      </c>
      <c r="Z45" t="s">
        <v>207</v>
      </c>
      <c r="AA45" t="s">
        <v>208</v>
      </c>
    </row>
    <row r="46" spans="1:27" x14ac:dyDescent="0.2">
      <c r="A46">
        <v>12</v>
      </c>
      <c r="B46" t="s">
        <v>68</v>
      </c>
      <c r="C46" t="s">
        <v>146</v>
      </c>
      <c r="D46" t="s">
        <v>186</v>
      </c>
      <c r="E46" t="s">
        <v>188</v>
      </c>
      <c r="F46">
        <v>40</v>
      </c>
      <c r="G46">
        <v>30</v>
      </c>
      <c r="H46">
        <v>2640.9250000000002</v>
      </c>
      <c r="I46" t="s">
        <v>195</v>
      </c>
      <c r="J46" t="s">
        <v>197</v>
      </c>
      <c r="K46">
        <v>1389083.095256187</v>
      </c>
      <c r="L46">
        <v>1353594.7209033831</v>
      </c>
      <c r="M46">
        <v>2.5548057185347101E-2</v>
      </c>
      <c r="N46">
        <v>600.06241393089294</v>
      </c>
      <c r="O46">
        <v>11</v>
      </c>
      <c r="P46" t="s">
        <v>197</v>
      </c>
      <c r="Q46" t="s">
        <v>198</v>
      </c>
      <c r="R46" t="s">
        <v>198</v>
      </c>
      <c r="S46" t="s">
        <v>199</v>
      </c>
      <c r="T46" t="s">
        <v>202</v>
      </c>
      <c r="U46" t="s">
        <v>16</v>
      </c>
      <c r="V46" t="s">
        <v>203</v>
      </c>
      <c r="W46">
        <v>40</v>
      </c>
      <c r="X46">
        <v>30</v>
      </c>
      <c r="Y46" t="s">
        <v>209</v>
      </c>
      <c r="Z46" t="s">
        <v>207</v>
      </c>
      <c r="AA46" t="s">
        <v>208</v>
      </c>
    </row>
    <row r="47" spans="1:27" x14ac:dyDescent="0.2">
      <c r="A47">
        <v>20</v>
      </c>
      <c r="B47" t="s">
        <v>69</v>
      </c>
      <c r="C47" t="s">
        <v>147</v>
      </c>
      <c r="D47" t="s">
        <v>183</v>
      </c>
      <c r="E47" t="s">
        <v>190</v>
      </c>
      <c r="F47">
        <v>40</v>
      </c>
      <c r="G47">
        <v>30</v>
      </c>
      <c r="H47">
        <v>2508.25</v>
      </c>
      <c r="I47" t="s">
        <v>195</v>
      </c>
      <c r="J47" t="s">
        <v>197</v>
      </c>
      <c r="K47">
        <v>958211.71298641921</v>
      </c>
      <c r="L47">
        <v>934084.50883091276</v>
      </c>
      <c r="M47">
        <v>2.5179408504943199E-2</v>
      </c>
      <c r="N47">
        <v>600.03800106048584</v>
      </c>
      <c r="O47">
        <v>11</v>
      </c>
      <c r="P47" t="s">
        <v>197</v>
      </c>
      <c r="Q47" t="s">
        <v>198</v>
      </c>
      <c r="R47" t="s">
        <v>198</v>
      </c>
      <c r="S47" t="s">
        <v>200</v>
      </c>
      <c r="T47" t="s">
        <v>201</v>
      </c>
      <c r="U47" t="s">
        <v>16</v>
      </c>
      <c r="V47" t="s">
        <v>203</v>
      </c>
      <c r="W47">
        <v>40</v>
      </c>
      <c r="X47">
        <v>30</v>
      </c>
      <c r="Y47" t="s">
        <v>205</v>
      </c>
      <c r="Z47" t="s">
        <v>206</v>
      </c>
      <c r="AA47" t="s">
        <v>208</v>
      </c>
    </row>
    <row r="48" spans="1:27" x14ac:dyDescent="0.2">
      <c r="A48">
        <v>72</v>
      </c>
      <c r="B48" t="s">
        <v>70</v>
      </c>
      <c r="C48" t="s">
        <v>148</v>
      </c>
      <c r="D48" t="s">
        <v>184</v>
      </c>
      <c r="E48" t="s">
        <v>189</v>
      </c>
      <c r="F48">
        <v>40</v>
      </c>
      <c r="G48">
        <v>30</v>
      </c>
      <c r="H48">
        <v>2860.2750000000001</v>
      </c>
      <c r="I48" t="s">
        <v>195</v>
      </c>
      <c r="J48" t="s">
        <v>197</v>
      </c>
      <c r="K48">
        <v>1078288.601684619</v>
      </c>
      <c r="L48">
        <v>1052031.3922126291</v>
      </c>
      <c r="M48">
        <v>2.4350817982279799E-2</v>
      </c>
      <c r="N48">
        <v>600.04337215423584</v>
      </c>
      <c r="O48">
        <v>11</v>
      </c>
      <c r="P48" t="s">
        <v>197</v>
      </c>
      <c r="Q48" t="s">
        <v>198</v>
      </c>
      <c r="R48" t="s">
        <v>198</v>
      </c>
      <c r="S48" t="s">
        <v>200</v>
      </c>
      <c r="T48" t="s">
        <v>202</v>
      </c>
      <c r="U48" t="s">
        <v>16</v>
      </c>
      <c r="V48" t="s">
        <v>203</v>
      </c>
      <c r="W48">
        <v>40</v>
      </c>
      <c r="X48">
        <v>30</v>
      </c>
      <c r="Y48" t="s">
        <v>205</v>
      </c>
      <c r="Z48" t="s">
        <v>207</v>
      </c>
      <c r="AA48" t="s">
        <v>208</v>
      </c>
    </row>
    <row r="49" spans="1:27" x14ac:dyDescent="0.2">
      <c r="A49">
        <v>74</v>
      </c>
      <c r="B49" t="s">
        <v>71</v>
      </c>
      <c r="C49" t="s">
        <v>149</v>
      </c>
      <c r="D49" t="s">
        <v>184</v>
      </c>
      <c r="E49" t="s">
        <v>188</v>
      </c>
      <c r="F49">
        <v>40</v>
      </c>
      <c r="G49">
        <v>30</v>
      </c>
      <c r="H49">
        <v>2638.1</v>
      </c>
      <c r="I49" t="s">
        <v>195</v>
      </c>
      <c r="J49" t="s">
        <v>197</v>
      </c>
      <c r="K49">
        <v>1310432.4289930339</v>
      </c>
      <c r="L49">
        <v>1280075.1048903789</v>
      </c>
      <c r="M49">
        <v>2.31658828269246E-2</v>
      </c>
      <c r="N49">
        <v>600.05544209480286</v>
      </c>
      <c r="O49">
        <v>11</v>
      </c>
      <c r="P49" t="s">
        <v>197</v>
      </c>
      <c r="Q49" t="s">
        <v>198</v>
      </c>
      <c r="R49" t="s">
        <v>198</v>
      </c>
      <c r="S49" t="s">
        <v>199</v>
      </c>
      <c r="T49" t="s">
        <v>202</v>
      </c>
      <c r="U49" t="s">
        <v>16</v>
      </c>
      <c r="V49" t="s">
        <v>203</v>
      </c>
      <c r="W49">
        <v>40</v>
      </c>
      <c r="X49">
        <v>30</v>
      </c>
      <c r="Y49" t="s">
        <v>209</v>
      </c>
      <c r="Z49" t="s">
        <v>207</v>
      </c>
      <c r="AA49" t="s">
        <v>208</v>
      </c>
    </row>
    <row r="50" spans="1:27" x14ac:dyDescent="0.2">
      <c r="A50">
        <v>8</v>
      </c>
      <c r="B50" t="s">
        <v>72</v>
      </c>
      <c r="C50" t="s">
        <v>150</v>
      </c>
      <c r="D50" t="s">
        <v>185</v>
      </c>
      <c r="E50" t="s">
        <v>187</v>
      </c>
      <c r="F50">
        <v>40</v>
      </c>
      <c r="G50">
        <v>30</v>
      </c>
      <c r="H50">
        <v>2711.875</v>
      </c>
      <c r="I50" t="s">
        <v>195</v>
      </c>
      <c r="J50" t="s">
        <v>197</v>
      </c>
      <c r="K50">
        <v>1284249.273162609</v>
      </c>
      <c r="L50">
        <v>1255094.1641006051</v>
      </c>
      <c r="M50">
        <v>2.27020638993288E-2</v>
      </c>
      <c r="N50">
        <v>600.03699898719788</v>
      </c>
      <c r="O50">
        <v>11</v>
      </c>
      <c r="P50" t="s">
        <v>197</v>
      </c>
      <c r="Q50" t="s">
        <v>198</v>
      </c>
      <c r="R50" t="s">
        <v>198</v>
      </c>
      <c r="S50" t="s">
        <v>199</v>
      </c>
      <c r="T50" t="s">
        <v>201</v>
      </c>
      <c r="U50" t="s">
        <v>16</v>
      </c>
      <c r="V50" t="s">
        <v>203</v>
      </c>
      <c r="W50">
        <v>40</v>
      </c>
      <c r="X50">
        <v>30</v>
      </c>
      <c r="Y50" t="s">
        <v>209</v>
      </c>
      <c r="Z50" t="s">
        <v>206</v>
      </c>
      <c r="AA50" t="s">
        <v>208</v>
      </c>
    </row>
    <row r="51" spans="1:27" x14ac:dyDescent="0.2">
      <c r="A51">
        <v>33</v>
      </c>
      <c r="B51" t="s">
        <v>73</v>
      </c>
      <c r="C51" t="s">
        <v>151</v>
      </c>
      <c r="D51" t="s">
        <v>186</v>
      </c>
      <c r="E51" t="s">
        <v>194</v>
      </c>
      <c r="F51">
        <v>40</v>
      </c>
      <c r="G51">
        <v>30</v>
      </c>
      <c r="H51">
        <v>2943</v>
      </c>
      <c r="I51" t="s">
        <v>195</v>
      </c>
      <c r="J51" t="s">
        <v>196</v>
      </c>
      <c r="K51">
        <v>788700.13703208615</v>
      </c>
      <c r="L51">
        <v>771094.67187764659</v>
      </c>
      <c r="M51">
        <v>2.2322127672869001E-2</v>
      </c>
      <c r="N51">
        <v>600.06272006034851</v>
      </c>
      <c r="O51">
        <v>11</v>
      </c>
      <c r="P51" t="s">
        <v>196</v>
      </c>
      <c r="Q51" t="s">
        <v>198</v>
      </c>
      <c r="R51" t="s">
        <v>198</v>
      </c>
      <c r="S51" t="s">
        <v>200</v>
      </c>
      <c r="T51" t="s">
        <v>201</v>
      </c>
      <c r="U51" t="s">
        <v>16</v>
      </c>
      <c r="V51" t="s">
        <v>204</v>
      </c>
      <c r="W51">
        <v>40</v>
      </c>
      <c r="X51">
        <v>30</v>
      </c>
      <c r="Y51" t="s">
        <v>205</v>
      </c>
      <c r="Z51" t="s">
        <v>206</v>
      </c>
      <c r="AA51" t="s">
        <v>208</v>
      </c>
    </row>
    <row r="52" spans="1:27" x14ac:dyDescent="0.2">
      <c r="A52">
        <v>18</v>
      </c>
      <c r="B52" t="s">
        <v>74</v>
      </c>
      <c r="C52" t="s">
        <v>152</v>
      </c>
      <c r="D52" t="s">
        <v>185</v>
      </c>
      <c r="E52" t="s">
        <v>188</v>
      </c>
      <c r="F52">
        <v>40</v>
      </c>
      <c r="G52">
        <v>30</v>
      </c>
      <c r="H52">
        <v>2633.5749999999998</v>
      </c>
      <c r="I52" t="s">
        <v>195</v>
      </c>
      <c r="J52" t="s">
        <v>197</v>
      </c>
      <c r="K52">
        <v>1375953.523565335</v>
      </c>
      <c r="L52">
        <v>1345386.6711709381</v>
      </c>
      <c r="M52">
        <v>2.22150326089448E-2</v>
      </c>
      <c r="N52">
        <v>600.05148005485535</v>
      </c>
      <c r="O52">
        <v>11</v>
      </c>
      <c r="P52" t="s">
        <v>197</v>
      </c>
      <c r="Q52" t="s">
        <v>198</v>
      </c>
      <c r="R52" t="s">
        <v>198</v>
      </c>
      <c r="S52" t="s">
        <v>199</v>
      </c>
      <c r="T52" t="s">
        <v>202</v>
      </c>
      <c r="U52" t="s">
        <v>16</v>
      </c>
      <c r="V52" t="s">
        <v>203</v>
      </c>
      <c r="W52">
        <v>40</v>
      </c>
      <c r="X52">
        <v>30</v>
      </c>
      <c r="Y52" t="s">
        <v>209</v>
      </c>
      <c r="Z52" t="s">
        <v>207</v>
      </c>
      <c r="AA52" t="s">
        <v>208</v>
      </c>
    </row>
    <row r="53" spans="1:27" x14ac:dyDescent="0.2">
      <c r="A53">
        <v>64</v>
      </c>
      <c r="B53" t="s">
        <v>75</v>
      </c>
      <c r="C53" t="s">
        <v>153</v>
      </c>
      <c r="D53" t="s">
        <v>182</v>
      </c>
      <c r="E53" t="s">
        <v>190</v>
      </c>
      <c r="F53">
        <v>40</v>
      </c>
      <c r="G53">
        <v>30</v>
      </c>
      <c r="H53">
        <v>2989.625</v>
      </c>
      <c r="I53" t="s">
        <v>195</v>
      </c>
      <c r="J53" t="s">
        <v>197</v>
      </c>
      <c r="K53">
        <v>1087565.67055685</v>
      </c>
      <c r="L53">
        <v>1063708.460019879</v>
      </c>
      <c r="M53">
        <v>2.19363401979723E-2</v>
      </c>
      <c r="N53">
        <v>600.03661298751831</v>
      </c>
      <c r="O53">
        <v>11</v>
      </c>
      <c r="P53" t="s">
        <v>197</v>
      </c>
      <c r="Q53" t="s">
        <v>198</v>
      </c>
      <c r="R53" t="s">
        <v>198</v>
      </c>
      <c r="S53" t="s">
        <v>200</v>
      </c>
      <c r="T53" t="s">
        <v>201</v>
      </c>
      <c r="U53" t="s">
        <v>16</v>
      </c>
      <c r="V53" t="s">
        <v>203</v>
      </c>
      <c r="W53">
        <v>40</v>
      </c>
      <c r="X53">
        <v>30</v>
      </c>
      <c r="Y53" t="s">
        <v>205</v>
      </c>
      <c r="Z53" t="s">
        <v>206</v>
      </c>
      <c r="AA53" t="s">
        <v>208</v>
      </c>
    </row>
    <row r="54" spans="1:27" x14ac:dyDescent="0.2">
      <c r="A54">
        <v>38</v>
      </c>
      <c r="B54" t="s">
        <v>76</v>
      </c>
      <c r="C54" t="s">
        <v>154</v>
      </c>
      <c r="D54" t="s">
        <v>183</v>
      </c>
      <c r="E54" t="s">
        <v>189</v>
      </c>
      <c r="F54">
        <v>40</v>
      </c>
      <c r="G54">
        <v>30</v>
      </c>
      <c r="H54">
        <v>2403.625</v>
      </c>
      <c r="I54" t="s">
        <v>195</v>
      </c>
      <c r="J54" t="s">
        <v>197</v>
      </c>
      <c r="K54">
        <v>914701.62520244077</v>
      </c>
      <c r="L54">
        <v>895108.30860930111</v>
      </c>
      <c r="M54">
        <v>2.1420445808001499E-2</v>
      </c>
      <c r="N54">
        <v>600.03706693649292</v>
      </c>
      <c r="O54">
        <v>11</v>
      </c>
      <c r="P54" t="s">
        <v>197</v>
      </c>
      <c r="Q54" t="s">
        <v>198</v>
      </c>
      <c r="R54" t="s">
        <v>198</v>
      </c>
      <c r="S54" t="s">
        <v>200</v>
      </c>
      <c r="T54" t="s">
        <v>202</v>
      </c>
      <c r="U54" t="s">
        <v>16</v>
      </c>
      <c r="V54" t="s">
        <v>203</v>
      </c>
      <c r="W54">
        <v>40</v>
      </c>
      <c r="X54">
        <v>30</v>
      </c>
      <c r="Y54" t="s">
        <v>205</v>
      </c>
      <c r="Z54" t="s">
        <v>207</v>
      </c>
      <c r="AA54" t="s">
        <v>208</v>
      </c>
    </row>
    <row r="55" spans="1:27" x14ac:dyDescent="0.2">
      <c r="A55">
        <v>76</v>
      </c>
      <c r="B55" t="s">
        <v>77</v>
      </c>
      <c r="C55" t="s">
        <v>155</v>
      </c>
      <c r="D55" t="s">
        <v>182</v>
      </c>
      <c r="E55" t="s">
        <v>193</v>
      </c>
      <c r="F55">
        <v>40</v>
      </c>
      <c r="G55">
        <v>30</v>
      </c>
      <c r="H55">
        <v>2721.5</v>
      </c>
      <c r="I55" t="s">
        <v>195</v>
      </c>
      <c r="J55" t="s">
        <v>197</v>
      </c>
      <c r="K55">
        <v>773745.88926424447</v>
      </c>
      <c r="L55">
        <v>757454.44947343727</v>
      </c>
      <c r="M55">
        <v>2.1055284450426901E-2</v>
      </c>
      <c r="N55">
        <v>600.02939796447754</v>
      </c>
      <c r="O55">
        <v>11</v>
      </c>
      <c r="P55" t="s">
        <v>197</v>
      </c>
      <c r="Q55" t="s">
        <v>198</v>
      </c>
      <c r="R55" t="s">
        <v>198</v>
      </c>
      <c r="S55" t="s">
        <v>199</v>
      </c>
      <c r="T55" t="s">
        <v>202</v>
      </c>
      <c r="U55" t="s">
        <v>16</v>
      </c>
      <c r="V55" t="s">
        <v>204</v>
      </c>
      <c r="W55">
        <v>40</v>
      </c>
      <c r="X55">
        <v>30</v>
      </c>
      <c r="Y55" t="s">
        <v>209</v>
      </c>
      <c r="Z55" t="s">
        <v>207</v>
      </c>
      <c r="AA55" t="s">
        <v>208</v>
      </c>
    </row>
    <row r="56" spans="1:27" x14ac:dyDescent="0.2">
      <c r="A56">
        <v>36</v>
      </c>
      <c r="B56" t="s">
        <v>78</v>
      </c>
      <c r="C56" t="s">
        <v>156</v>
      </c>
      <c r="D56" t="s">
        <v>182</v>
      </c>
      <c r="E56" t="s">
        <v>188</v>
      </c>
      <c r="F56">
        <v>40</v>
      </c>
      <c r="G56">
        <v>30</v>
      </c>
      <c r="H56">
        <v>2608.0749999999998</v>
      </c>
      <c r="I56" t="s">
        <v>195</v>
      </c>
      <c r="J56" t="s">
        <v>197</v>
      </c>
      <c r="K56">
        <v>1631318.856124019</v>
      </c>
      <c r="L56">
        <v>1597174.2545313039</v>
      </c>
      <c r="M56">
        <v>2.0930673034603199E-2</v>
      </c>
      <c r="N56">
        <v>600.05516600608826</v>
      </c>
      <c r="O56">
        <v>11</v>
      </c>
      <c r="P56" t="s">
        <v>197</v>
      </c>
      <c r="Q56" t="s">
        <v>198</v>
      </c>
      <c r="R56" t="s">
        <v>198</v>
      </c>
      <c r="S56" t="s">
        <v>199</v>
      </c>
      <c r="T56" t="s">
        <v>202</v>
      </c>
      <c r="U56" t="s">
        <v>16</v>
      </c>
      <c r="V56" t="s">
        <v>203</v>
      </c>
      <c r="W56">
        <v>40</v>
      </c>
      <c r="X56">
        <v>30</v>
      </c>
      <c r="Y56" t="s">
        <v>209</v>
      </c>
      <c r="Z56" t="s">
        <v>207</v>
      </c>
      <c r="AA56" t="s">
        <v>208</v>
      </c>
    </row>
    <row r="57" spans="1:27" x14ac:dyDescent="0.2">
      <c r="A57">
        <v>79</v>
      </c>
      <c r="B57" t="s">
        <v>79</v>
      </c>
      <c r="C57" t="s">
        <v>157</v>
      </c>
      <c r="D57" t="s">
        <v>186</v>
      </c>
      <c r="E57" t="s">
        <v>192</v>
      </c>
      <c r="F57">
        <v>40</v>
      </c>
      <c r="G57">
        <v>30</v>
      </c>
      <c r="H57">
        <v>2818</v>
      </c>
      <c r="I57" t="s">
        <v>195</v>
      </c>
      <c r="J57" t="s">
        <v>196</v>
      </c>
      <c r="K57">
        <v>767052.17422776786</v>
      </c>
      <c r="L57">
        <v>751181.24557955645</v>
      </c>
      <c r="M57">
        <v>2.0690807198596999E-2</v>
      </c>
      <c r="N57">
        <v>600.18164706230164</v>
      </c>
      <c r="O57">
        <v>11</v>
      </c>
      <c r="P57" t="s">
        <v>196</v>
      </c>
      <c r="Q57" t="s">
        <v>198</v>
      </c>
      <c r="R57" t="s">
        <v>198</v>
      </c>
      <c r="S57" t="s">
        <v>200</v>
      </c>
      <c r="T57" t="s">
        <v>202</v>
      </c>
      <c r="U57" t="s">
        <v>16</v>
      </c>
      <c r="V57" t="s">
        <v>204</v>
      </c>
      <c r="W57">
        <v>40</v>
      </c>
      <c r="X57">
        <v>30</v>
      </c>
      <c r="Y57" t="s">
        <v>205</v>
      </c>
      <c r="Z57" t="s">
        <v>207</v>
      </c>
      <c r="AA57" t="s">
        <v>208</v>
      </c>
    </row>
    <row r="58" spans="1:27" x14ac:dyDescent="0.2">
      <c r="A58">
        <v>17</v>
      </c>
      <c r="B58" t="s">
        <v>80</v>
      </c>
      <c r="C58" t="s">
        <v>158</v>
      </c>
      <c r="D58" t="s">
        <v>182</v>
      </c>
      <c r="E58" t="s">
        <v>194</v>
      </c>
      <c r="F58">
        <v>40</v>
      </c>
      <c r="G58">
        <v>30</v>
      </c>
      <c r="H58">
        <v>2961.875</v>
      </c>
      <c r="I58" t="s">
        <v>195</v>
      </c>
      <c r="J58" t="s">
        <v>196</v>
      </c>
      <c r="K58">
        <v>789807.91962214117</v>
      </c>
      <c r="L58">
        <v>773712.77829885785</v>
      </c>
      <c r="M58">
        <v>2.0378551447019499E-2</v>
      </c>
      <c r="N58">
        <v>600.04081416130066</v>
      </c>
      <c r="O58">
        <v>11</v>
      </c>
      <c r="P58" t="s">
        <v>196</v>
      </c>
      <c r="Q58" t="s">
        <v>198</v>
      </c>
      <c r="R58" t="s">
        <v>198</v>
      </c>
      <c r="S58" t="s">
        <v>200</v>
      </c>
      <c r="T58" t="s">
        <v>201</v>
      </c>
      <c r="U58" t="s">
        <v>16</v>
      </c>
      <c r="V58" t="s">
        <v>204</v>
      </c>
      <c r="W58">
        <v>40</v>
      </c>
      <c r="X58">
        <v>30</v>
      </c>
      <c r="Y58" t="s">
        <v>205</v>
      </c>
      <c r="Z58" t="s">
        <v>206</v>
      </c>
      <c r="AA58" t="s">
        <v>208</v>
      </c>
    </row>
    <row r="59" spans="1:27" x14ac:dyDescent="0.2">
      <c r="A59">
        <v>70</v>
      </c>
      <c r="B59" t="s">
        <v>81</v>
      </c>
      <c r="C59" t="s">
        <v>159</v>
      </c>
      <c r="D59" t="s">
        <v>186</v>
      </c>
      <c r="E59" t="s">
        <v>193</v>
      </c>
      <c r="F59">
        <v>40</v>
      </c>
      <c r="G59">
        <v>30</v>
      </c>
      <c r="H59">
        <v>2647.85</v>
      </c>
      <c r="I59" t="s">
        <v>195</v>
      </c>
      <c r="J59" t="s">
        <v>197</v>
      </c>
      <c r="K59">
        <v>824882.41074805125</v>
      </c>
      <c r="L59">
        <v>808509.82848415396</v>
      </c>
      <c r="M59">
        <v>1.9848383297505E-2</v>
      </c>
      <c r="N59">
        <v>600.051265001297</v>
      </c>
      <c r="O59">
        <v>11</v>
      </c>
      <c r="P59" t="s">
        <v>197</v>
      </c>
      <c r="Q59" t="s">
        <v>198</v>
      </c>
      <c r="R59" t="s">
        <v>198</v>
      </c>
      <c r="S59" t="s">
        <v>199</v>
      </c>
      <c r="T59" t="s">
        <v>202</v>
      </c>
      <c r="U59" t="s">
        <v>16</v>
      </c>
      <c r="V59" t="s">
        <v>204</v>
      </c>
      <c r="W59">
        <v>40</v>
      </c>
      <c r="X59">
        <v>30</v>
      </c>
      <c r="Y59" t="s">
        <v>209</v>
      </c>
      <c r="Z59" t="s">
        <v>207</v>
      </c>
      <c r="AA59" t="s">
        <v>208</v>
      </c>
    </row>
    <row r="60" spans="1:27" x14ac:dyDescent="0.2">
      <c r="A60">
        <v>54</v>
      </c>
      <c r="B60" t="s">
        <v>82</v>
      </c>
      <c r="C60" t="s">
        <v>160</v>
      </c>
      <c r="D60" t="s">
        <v>186</v>
      </c>
      <c r="E60" t="s">
        <v>191</v>
      </c>
      <c r="F60">
        <v>40</v>
      </c>
      <c r="G60">
        <v>30</v>
      </c>
      <c r="H60">
        <v>2713.6</v>
      </c>
      <c r="I60" t="s">
        <v>195</v>
      </c>
      <c r="J60" t="s">
        <v>197</v>
      </c>
      <c r="K60">
        <v>823012.61797953467</v>
      </c>
      <c r="L60">
        <v>806770.33070263197</v>
      </c>
      <c r="M60">
        <v>1.97351619186312E-2</v>
      </c>
      <c r="N60">
        <v>600.0335488319397</v>
      </c>
      <c r="O60">
        <v>11</v>
      </c>
      <c r="P60" t="s">
        <v>197</v>
      </c>
      <c r="Q60" t="s">
        <v>198</v>
      </c>
      <c r="R60" t="s">
        <v>198</v>
      </c>
      <c r="S60" t="s">
        <v>199</v>
      </c>
      <c r="T60" t="s">
        <v>201</v>
      </c>
      <c r="U60" t="s">
        <v>16</v>
      </c>
      <c r="V60" t="s">
        <v>204</v>
      </c>
      <c r="W60">
        <v>40</v>
      </c>
      <c r="X60">
        <v>30</v>
      </c>
      <c r="Y60" t="s">
        <v>209</v>
      </c>
      <c r="Z60" t="s">
        <v>206</v>
      </c>
      <c r="AA60" t="s">
        <v>208</v>
      </c>
    </row>
    <row r="61" spans="1:27" x14ac:dyDescent="0.2">
      <c r="A61">
        <v>26</v>
      </c>
      <c r="B61" t="s">
        <v>83</v>
      </c>
      <c r="C61" t="s">
        <v>161</v>
      </c>
      <c r="D61" t="s">
        <v>185</v>
      </c>
      <c r="E61" t="s">
        <v>191</v>
      </c>
      <c r="F61">
        <v>40</v>
      </c>
      <c r="G61">
        <v>30</v>
      </c>
      <c r="H61">
        <v>2709.7</v>
      </c>
      <c r="I61" t="s">
        <v>195</v>
      </c>
      <c r="J61" t="s">
        <v>197</v>
      </c>
      <c r="K61">
        <v>817430.4189742225</v>
      </c>
      <c r="L61">
        <v>801704.10146496026</v>
      </c>
      <c r="M61">
        <v>1.9238723130706199E-2</v>
      </c>
      <c r="N61">
        <v>600.03550100326538</v>
      </c>
      <c r="O61">
        <v>11</v>
      </c>
      <c r="P61" t="s">
        <v>197</v>
      </c>
      <c r="Q61" t="s">
        <v>198</v>
      </c>
      <c r="R61" t="s">
        <v>198</v>
      </c>
      <c r="S61" t="s">
        <v>199</v>
      </c>
      <c r="T61" t="s">
        <v>201</v>
      </c>
      <c r="U61" t="s">
        <v>16</v>
      </c>
      <c r="V61" t="s">
        <v>204</v>
      </c>
      <c r="W61">
        <v>40</v>
      </c>
      <c r="X61">
        <v>30</v>
      </c>
      <c r="Y61" t="s">
        <v>209</v>
      </c>
      <c r="Z61" t="s">
        <v>206</v>
      </c>
      <c r="AA61" t="s">
        <v>208</v>
      </c>
    </row>
    <row r="62" spans="1:27" x14ac:dyDescent="0.2">
      <c r="A62">
        <v>34</v>
      </c>
      <c r="B62" t="s">
        <v>84</v>
      </c>
      <c r="C62" t="s">
        <v>162</v>
      </c>
      <c r="D62" t="s">
        <v>184</v>
      </c>
      <c r="E62" t="s">
        <v>193</v>
      </c>
      <c r="F62">
        <v>40</v>
      </c>
      <c r="G62">
        <v>30</v>
      </c>
      <c r="H62">
        <v>2639.9250000000002</v>
      </c>
      <c r="I62" t="s">
        <v>195</v>
      </c>
      <c r="J62" t="s">
        <v>197</v>
      </c>
      <c r="K62">
        <v>830206.93432919635</v>
      </c>
      <c r="L62">
        <v>814249.54299055133</v>
      </c>
      <c r="M62">
        <v>1.9220980551720501E-2</v>
      </c>
      <c r="N62">
        <v>600.05988001823425</v>
      </c>
      <c r="O62">
        <v>11</v>
      </c>
      <c r="P62" t="s">
        <v>197</v>
      </c>
      <c r="Q62" t="s">
        <v>198</v>
      </c>
      <c r="R62" t="s">
        <v>198</v>
      </c>
      <c r="S62" t="s">
        <v>199</v>
      </c>
      <c r="T62" t="s">
        <v>202</v>
      </c>
      <c r="U62" t="s">
        <v>16</v>
      </c>
      <c r="V62" t="s">
        <v>204</v>
      </c>
      <c r="W62">
        <v>40</v>
      </c>
      <c r="X62">
        <v>30</v>
      </c>
      <c r="Y62" t="s">
        <v>209</v>
      </c>
      <c r="Z62" t="s">
        <v>207</v>
      </c>
      <c r="AA62" t="s">
        <v>208</v>
      </c>
    </row>
    <row r="63" spans="1:27" x14ac:dyDescent="0.2">
      <c r="A63">
        <v>42</v>
      </c>
      <c r="B63" t="s">
        <v>85</v>
      </c>
      <c r="C63" t="s">
        <v>163</v>
      </c>
      <c r="D63" t="s">
        <v>183</v>
      </c>
      <c r="E63" t="s">
        <v>187</v>
      </c>
      <c r="F63">
        <v>40</v>
      </c>
      <c r="G63">
        <v>30</v>
      </c>
      <c r="H63">
        <v>2333.4</v>
      </c>
      <c r="I63" t="s">
        <v>195</v>
      </c>
      <c r="J63" t="s">
        <v>197</v>
      </c>
      <c r="K63">
        <v>1220021.5441680979</v>
      </c>
      <c r="L63">
        <v>1196602.3508355501</v>
      </c>
      <c r="M63">
        <v>1.9195721128446499E-2</v>
      </c>
      <c r="N63">
        <v>600.04007697105408</v>
      </c>
      <c r="O63">
        <v>11</v>
      </c>
      <c r="P63" t="s">
        <v>197</v>
      </c>
      <c r="Q63" t="s">
        <v>198</v>
      </c>
      <c r="R63" t="s">
        <v>198</v>
      </c>
      <c r="S63" t="s">
        <v>199</v>
      </c>
      <c r="T63" t="s">
        <v>201</v>
      </c>
      <c r="U63" t="s">
        <v>16</v>
      </c>
      <c r="V63" t="s">
        <v>203</v>
      </c>
      <c r="W63">
        <v>40</v>
      </c>
      <c r="X63">
        <v>30</v>
      </c>
      <c r="Y63" t="s">
        <v>209</v>
      </c>
      <c r="Z63" t="s">
        <v>206</v>
      </c>
      <c r="AA63" t="s">
        <v>208</v>
      </c>
    </row>
    <row r="64" spans="1:27" x14ac:dyDescent="0.2">
      <c r="A64">
        <v>62</v>
      </c>
      <c r="B64" t="s">
        <v>86</v>
      </c>
      <c r="C64" t="s">
        <v>164</v>
      </c>
      <c r="D64" t="s">
        <v>186</v>
      </c>
      <c r="E64" t="s">
        <v>190</v>
      </c>
      <c r="F64">
        <v>40</v>
      </c>
      <c r="G64">
        <v>30</v>
      </c>
      <c r="H64">
        <v>2976.5</v>
      </c>
      <c r="I64" t="s">
        <v>195</v>
      </c>
      <c r="J64" t="s">
        <v>197</v>
      </c>
      <c r="K64">
        <v>1085183.475976391</v>
      </c>
      <c r="L64">
        <v>1065626.1735674201</v>
      </c>
      <c r="M64">
        <v>1.8022115929635499E-2</v>
      </c>
      <c r="N64">
        <v>600.03851890563965</v>
      </c>
      <c r="O64">
        <v>11</v>
      </c>
      <c r="P64" t="s">
        <v>197</v>
      </c>
      <c r="Q64" t="s">
        <v>198</v>
      </c>
      <c r="R64" t="s">
        <v>198</v>
      </c>
      <c r="S64" t="s">
        <v>200</v>
      </c>
      <c r="T64" t="s">
        <v>201</v>
      </c>
      <c r="U64" t="s">
        <v>16</v>
      </c>
      <c r="V64" t="s">
        <v>203</v>
      </c>
      <c r="W64">
        <v>40</v>
      </c>
      <c r="X64">
        <v>30</v>
      </c>
      <c r="Y64" t="s">
        <v>205</v>
      </c>
      <c r="Z64" t="s">
        <v>206</v>
      </c>
      <c r="AA64" t="s">
        <v>208</v>
      </c>
    </row>
    <row r="65" spans="1:27" x14ac:dyDescent="0.2">
      <c r="A65">
        <v>52</v>
      </c>
      <c r="B65" t="s">
        <v>87</v>
      </c>
      <c r="C65" t="s">
        <v>165</v>
      </c>
      <c r="D65" t="s">
        <v>182</v>
      </c>
      <c r="E65" t="s">
        <v>191</v>
      </c>
      <c r="F65">
        <v>40</v>
      </c>
      <c r="G65">
        <v>30</v>
      </c>
      <c r="H65">
        <v>2708.2249999999999</v>
      </c>
      <c r="I65" t="s">
        <v>195</v>
      </c>
      <c r="J65" t="s">
        <v>197</v>
      </c>
      <c r="K65">
        <v>829207.1387087499</v>
      </c>
      <c r="L65">
        <v>815411.82123417791</v>
      </c>
      <c r="M65">
        <v>1.6636756765087898E-2</v>
      </c>
      <c r="N65">
        <v>600.04127597808838</v>
      </c>
      <c r="O65">
        <v>11</v>
      </c>
      <c r="P65" t="s">
        <v>197</v>
      </c>
      <c r="Q65" t="s">
        <v>198</v>
      </c>
      <c r="R65" t="s">
        <v>198</v>
      </c>
      <c r="S65" t="s">
        <v>199</v>
      </c>
      <c r="T65" t="s">
        <v>201</v>
      </c>
      <c r="U65" t="s">
        <v>16</v>
      </c>
      <c r="V65" t="s">
        <v>204</v>
      </c>
      <c r="W65">
        <v>40</v>
      </c>
      <c r="X65">
        <v>30</v>
      </c>
      <c r="Y65" t="s">
        <v>209</v>
      </c>
      <c r="Z65" t="s">
        <v>206</v>
      </c>
      <c r="AA65" t="s">
        <v>208</v>
      </c>
    </row>
    <row r="66" spans="1:27" x14ac:dyDescent="0.2">
      <c r="A66">
        <v>14</v>
      </c>
      <c r="B66" t="s">
        <v>88</v>
      </c>
      <c r="C66" t="s">
        <v>166</v>
      </c>
      <c r="D66" t="s">
        <v>183</v>
      </c>
      <c r="E66" t="s">
        <v>191</v>
      </c>
      <c r="F66">
        <v>40</v>
      </c>
      <c r="G66">
        <v>30</v>
      </c>
      <c r="H66">
        <v>2322.4749999999999</v>
      </c>
      <c r="I66" t="s">
        <v>195</v>
      </c>
      <c r="J66" t="s">
        <v>197</v>
      </c>
      <c r="K66">
        <v>776125.73349596618</v>
      </c>
      <c r="L66">
        <v>763314.35667937074</v>
      </c>
      <c r="M66">
        <v>1.65068316429711E-2</v>
      </c>
      <c r="N66">
        <v>600.0590980052948</v>
      </c>
      <c r="O66">
        <v>11</v>
      </c>
      <c r="P66" t="s">
        <v>197</v>
      </c>
      <c r="Q66" t="s">
        <v>198</v>
      </c>
      <c r="R66" t="s">
        <v>198</v>
      </c>
      <c r="S66" t="s">
        <v>199</v>
      </c>
      <c r="T66" t="s">
        <v>201</v>
      </c>
      <c r="U66" t="s">
        <v>16</v>
      </c>
      <c r="V66" t="s">
        <v>204</v>
      </c>
      <c r="W66">
        <v>40</v>
      </c>
      <c r="X66">
        <v>30</v>
      </c>
      <c r="Y66" t="s">
        <v>209</v>
      </c>
      <c r="Z66" t="s">
        <v>206</v>
      </c>
      <c r="AA66" t="s">
        <v>208</v>
      </c>
    </row>
    <row r="67" spans="1:27" x14ac:dyDescent="0.2">
      <c r="A67">
        <v>68</v>
      </c>
      <c r="B67" t="s">
        <v>89</v>
      </c>
      <c r="C67" t="s">
        <v>167</v>
      </c>
      <c r="D67" t="s">
        <v>183</v>
      </c>
      <c r="E67" t="s">
        <v>193</v>
      </c>
      <c r="F67">
        <v>40</v>
      </c>
      <c r="G67">
        <v>30</v>
      </c>
      <c r="H67">
        <v>2267.3000000000002</v>
      </c>
      <c r="I67" t="s">
        <v>195</v>
      </c>
      <c r="J67" t="s">
        <v>197</v>
      </c>
      <c r="K67">
        <v>666994.06704253319</v>
      </c>
      <c r="L67">
        <v>656112.03142035834</v>
      </c>
      <c r="M67">
        <v>1.6315041107375999E-2</v>
      </c>
      <c r="N67">
        <v>600.06698703765869</v>
      </c>
      <c r="O67">
        <v>11</v>
      </c>
      <c r="P67" t="s">
        <v>197</v>
      </c>
      <c r="Q67" t="s">
        <v>198</v>
      </c>
      <c r="R67" t="s">
        <v>198</v>
      </c>
      <c r="S67" t="s">
        <v>199</v>
      </c>
      <c r="T67" t="s">
        <v>202</v>
      </c>
      <c r="U67" t="s">
        <v>16</v>
      </c>
      <c r="V67" t="s">
        <v>204</v>
      </c>
      <c r="W67">
        <v>40</v>
      </c>
      <c r="X67">
        <v>30</v>
      </c>
      <c r="Y67" t="s">
        <v>209</v>
      </c>
      <c r="Z67" t="s">
        <v>207</v>
      </c>
      <c r="AA67" t="s">
        <v>208</v>
      </c>
    </row>
    <row r="68" spans="1:27" x14ac:dyDescent="0.2">
      <c r="A68">
        <v>24</v>
      </c>
      <c r="B68" t="s">
        <v>90</v>
      </c>
      <c r="C68" t="s">
        <v>168</v>
      </c>
      <c r="D68" t="s">
        <v>184</v>
      </c>
      <c r="E68" t="s">
        <v>191</v>
      </c>
      <c r="F68">
        <v>40</v>
      </c>
      <c r="G68">
        <v>30</v>
      </c>
      <c r="H68">
        <v>2750.1750000000002</v>
      </c>
      <c r="I68" t="s">
        <v>195</v>
      </c>
      <c r="J68" t="s">
        <v>197</v>
      </c>
      <c r="K68">
        <v>801068.72611726657</v>
      </c>
      <c r="L68">
        <v>789246.67512208573</v>
      </c>
      <c r="M68">
        <v>1.47578486211559E-2</v>
      </c>
      <c r="N68">
        <v>600.03301620483398</v>
      </c>
      <c r="O68">
        <v>11</v>
      </c>
      <c r="P68" t="s">
        <v>197</v>
      </c>
      <c r="Q68" t="s">
        <v>198</v>
      </c>
      <c r="R68" t="s">
        <v>198</v>
      </c>
      <c r="S68" t="s">
        <v>199</v>
      </c>
      <c r="T68" t="s">
        <v>201</v>
      </c>
      <c r="U68" t="s">
        <v>16</v>
      </c>
      <c r="V68" t="s">
        <v>204</v>
      </c>
      <c r="W68">
        <v>40</v>
      </c>
      <c r="X68">
        <v>30</v>
      </c>
      <c r="Y68" t="s">
        <v>209</v>
      </c>
      <c r="Z68" t="s">
        <v>206</v>
      </c>
      <c r="AA68" t="s">
        <v>208</v>
      </c>
    </row>
    <row r="69" spans="1:27" x14ac:dyDescent="0.2">
      <c r="A69">
        <v>40</v>
      </c>
      <c r="B69" t="s">
        <v>91</v>
      </c>
      <c r="C69" t="s">
        <v>169</v>
      </c>
      <c r="D69" t="s">
        <v>185</v>
      </c>
      <c r="E69" t="s">
        <v>193</v>
      </c>
      <c r="F69">
        <v>40</v>
      </c>
      <c r="G69">
        <v>30</v>
      </c>
      <c r="H69">
        <v>2625.9749999999999</v>
      </c>
      <c r="I69" t="s">
        <v>195</v>
      </c>
      <c r="J69" t="s">
        <v>197</v>
      </c>
      <c r="K69">
        <v>858832.46048498037</v>
      </c>
      <c r="L69">
        <v>846681.28879549808</v>
      </c>
      <c r="M69">
        <v>1.41484774371715E-2</v>
      </c>
      <c r="N69">
        <v>600.0425238609314</v>
      </c>
      <c r="O69">
        <v>11</v>
      </c>
      <c r="P69" t="s">
        <v>197</v>
      </c>
      <c r="Q69" t="s">
        <v>198</v>
      </c>
      <c r="R69" t="s">
        <v>198</v>
      </c>
      <c r="S69" t="s">
        <v>199</v>
      </c>
      <c r="T69" t="s">
        <v>202</v>
      </c>
      <c r="U69" t="s">
        <v>16</v>
      </c>
      <c r="V69" t="s">
        <v>204</v>
      </c>
      <c r="W69">
        <v>40</v>
      </c>
      <c r="X69">
        <v>30</v>
      </c>
      <c r="Y69" t="s">
        <v>209</v>
      </c>
      <c r="Z69" t="s">
        <v>207</v>
      </c>
      <c r="AA69" t="s">
        <v>208</v>
      </c>
    </row>
    <row r="70" spans="1:27" x14ac:dyDescent="0.2">
      <c r="A70">
        <v>51</v>
      </c>
      <c r="B70" t="s">
        <v>92</v>
      </c>
      <c r="C70" t="s">
        <v>170</v>
      </c>
      <c r="D70" t="s">
        <v>184</v>
      </c>
      <c r="E70" t="s">
        <v>194</v>
      </c>
      <c r="F70">
        <v>40</v>
      </c>
      <c r="G70">
        <v>30</v>
      </c>
      <c r="H70">
        <v>2957.4</v>
      </c>
      <c r="I70" t="s">
        <v>195</v>
      </c>
      <c r="J70" t="s">
        <v>196</v>
      </c>
      <c r="K70">
        <v>773187.20575812017</v>
      </c>
      <c r="L70">
        <v>762690.06042323005</v>
      </c>
      <c r="M70">
        <v>1.35764602113372E-2</v>
      </c>
      <c r="N70">
        <v>600.04900097846985</v>
      </c>
      <c r="O70">
        <v>11</v>
      </c>
      <c r="P70" t="s">
        <v>196</v>
      </c>
      <c r="Q70" t="s">
        <v>198</v>
      </c>
      <c r="R70" t="s">
        <v>198</v>
      </c>
      <c r="S70" t="s">
        <v>200</v>
      </c>
      <c r="T70" t="s">
        <v>201</v>
      </c>
      <c r="U70" t="s">
        <v>16</v>
      </c>
      <c r="V70" t="s">
        <v>204</v>
      </c>
      <c r="W70">
        <v>40</v>
      </c>
      <c r="X70">
        <v>30</v>
      </c>
      <c r="Y70" t="s">
        <v>205</v>
      </c>
      <c r="Z70" t="s">
        <v>206</v>
      </c>
      <c r="AA70" t="s">
        <v>208</v>
      </c>
    </row>
    <row r="71" spans="1:27" x14ac:dyDescent="0.2">
      <c r="A71">
        <v>58</v>
      </c>
      <c r="B71" t="s">
        <v>93</v>
      </c>
      <c r="C71" t="s">
        <v>171</v>
      </c>
      <c r="D71" t="s">
        <v>183</v>
      </c>
      <c r="E71" t="s">
        <v>194</v>
      </c>
      <c r="F71">
        <v>40</v>
      </c>
      <c r="G71">
        <v>30</v>
      </c>
      <c r="H71">
        <v>2477.9499999999998</v>
      </c>
      <c r="I71" t="s">
        <v>195</v>
      </c>
      <c r="J71" t="s">
        <v>197</v>
      </c>
      <c r="K71">
        <v>656929.87683622155</v>
      </c>
      <c r="L71">
        <v>649198.33132596873</v>
      </c>
      <c r="M71">
        <v>1.1769209748060099E-2</v>
      </c>
      <c r="N71">
        <v>600.05058097839355</v>
      </c>
      <c r="O71">
        <v>11</v>
      </c>
      <c r="P71" t="s">
        <v>197</v>
      </c>
      <c r="Q71" t="s">
        <v>198</v>
      </c>
      <c r="R71" t="s">
        <v>198</v>
      </c>
      <c r="S71" t="s">
        <v>200</v>
      </c>
      <c r="T71" t="s">
        <v>201</v>
      </c>
      <c r="U71" t="s">
        <v>16</v>
      </c>
      <c r="V71" t="s">
        <v>204</v>
      </c>
      <c r="W71">
        <v>40</v>
      </c>
      <c r="X71">
        <v>30</v>
      </c>
      <c r="Y71" t="s">
        <v>205</v>
      </c>
      <c r="Z71" t="s">
        <v>206</v>
      </c>
      <c r="AA71" t="s">
        <v>208</v>
      </c>
    </row>
    <row r="72" spans="1:27" x14ac:dyDescent="0.2">
      <c r="A72">
        <v>78</v>
      </c>
      <c r="B72" t="s">
        <v>94</v>
      </c>
      <c r="C72" t="s">
        <v>172</v>
      </c>
      <c r="D72" t="s">
        <v>186</v>
      </c>
      <c r="E72" t="s">
        <v>192</v>
      </c>
      <c r="F72">
        <v>40</v>
      </c>
      <c r="G72">
        <v>30</v>
      </c>
      <c r="H72">
        <v>2818</v>
      </c>
      <c r="I72" t="s">
        <v>195</v>
      </c>
      <c r="J72" t="s">
        <v>197</v>
      </c>
      <c r="K72">
        <v>742251.82863333181</v>
      </c>
      <c r="L72">
        <v>734432.18254056701</v>
      </c>
      <c r="M72">
        <v>1.0535031092025301E-2</v>
      </c>
      <c r="N72">
        <v>600.05273509025574</v>
      </c>
      <c r="O72">
        <v>11</v>
      </c>
      <c r="P72" t="s">
        <v>197</v>
      </c>
      <c r="Q72" t="s">
        <v>198</v>
      </c>
      <c r="R72" t="s">
        <v>198</v>
      </c>
      <c r="S72" t="s">
        <v>200</v>
      </c>
      <c r="T72" t="s">
        <v>202</v>
      </c>
      <c r="U72" t="s">
        <v>16</v>
      </c>
      <c r="V72" t="s">
        <v>204</v>
      </c>
      <c r="W72">
        <v>40</v>
      </c>
      <c r="X72">
        <v>30</v>
      </c>
      <c r="Y72" t="s">
        <v>205</v>
      </c>
      <c r="Z72" t="s">
        <v>207</v>
      </c>
      <c r="AA72" t="s">
        <v>208</v>
      </c>
    </row>
    <row r="73" spans="1:27" x14ac:dyDescent="0.2">
      <c r="A73">
        <v>7</v>
      </c>
      <c r="B73" t="s">
        <v>95</v>
      </c>
      <c r="C73" t="s">
        <v>173</v>
      </c>
      <c r="D73" t="s">
        <v>185</v>
      </c>
      <c r="E73" t="s">
        <v>194</v>
      </c>
      <c r="F73">
        <v>40</v>
      </c>
      <c r="G73">
        <v>30</v>
      </c>
      <c r="H73">
        <v>2947.4250000000002</v>
      </c>
      <c r="I73" t="s">
        <v>195</v>
      </c>
      <c r="J73" t="s">
        <v>196</v>
      </c>
      <c r="K73">
        <v>773895.82433675288</v>
      </c>
      <c r="L73">
        <v>766795.89124777529</v>
      </c>
      <c r="M73">
        <v>9.1742749679033005E-3</v>
      </c>
      <c r="N73">
        <v>600.13025999069214</v>
      </c>
      <c r="O73">
        <v>11</v>
      </c>
      <c r="P73" t="s">
        <v>196</v>
      </c>
      <c r="Q73" t="s">
        <v>198</v>
      </c>
      <c r="R73" t="s">
        <v>198</v>
      </c>
      <c r="S73" t="s">
        <v>200</v>
      </c>
      <c r="T73" t="s">
        <v>201</v>
      </c>
      <c r="U73" t="s">
        <v>16</v>
      </c>
      <c r="V73" t="s">
        <v>204</v>
      </c>
      <c r="W73">
        <v>40</v>
      </c>
      <c r="X73">
        <v>30</v>
      </c>
      <c r="Y73" t="s">
        <v>205</v>
      </c>
      <c r="Z73" t="s">
        <v>206</v>
      </c>
      <c r="AA73" t="s">
        <v>208</v>
      </c>
    </row>
    <row r="74" spans="1:27" x14ac:dyDescent="0.2">
      <c r="A74">
        <v>56</v>
      </c>
      <c r="B74" t="s">
        <v>96</v>
      </c>
      <c r="C74" t="s">
        <v>174</v>
      </c>
      <c r="D74" t="s">
        <v>183</v>
      </c>
      <c r="E74" t="s">
        <v>192</v>
      </c>
      <c r="F74">
        <v>40</v>
      </c>
      <c r="G74">
        <v>30</v>
      </c>
      <c r="H74">
        <v>2441.2249999999999</v>
      </c>
      <c r="I74" t="s">
        <v>195</v>
      </c>
      <c r="J74" t="s">
        <v>197</v>
      </c>
      <c r="K74">
        <v>622651.34787634958</v>
      </c>
      <c r="L74">
        <v>617411.63353998039</v>
      </c>
      <c r="M74">
        <v>8.4151658134845996E-3</v>
      </c>
      <c r="N74">
        <v>600.08076691627502</v>
      </c>
      <c r="O74">
        <v>11</v>
      </c>
      <c r="P74" t="s">
        <v>197</v>
      </c>
      <c r="Q74" t="s">
        <v>198</v>
      </c>
      <c r="R74" t="s">
        <v>198</v>
      </c>
      <c r="S74" t="s">
        <v>200</v>
      </c>
      <c r="T74" t="s">
        <v>202</v>
      </c>
      <c r="U74" t="s">
        <v>16</v>
      </c>
      <c r="V74" t="s">
        <v>204</v>
      </c>
      <c r="W74">
        <v>40</v>
      </c>
      <c r="X74">
        <v>30</v>
      </c>
      <c r="Y74" t="s">
        <v>205</v>
      </c>
      <c r="Z74" t="s">
        <v>207</v>
      </c>
      <c r="AA74" t="s">
        <v>208</v>
      </c>
    </row>
    <row r="75" spans="1:27" x14ac:dyDescent="0.2">
      <c r="A75">
        <v>48</v>
      </c>
      <c r="B75" t="s">
        <v>97</v>
      </c>
      <c r="C75" t="s">
        <v>175</v>
      </c>
      <c r="D75" t="s">
        <v>182</v>
      </c>
      <c r="E75" t="s">
        <v>192</v>
      </c>
      <c r="F75">
        <v>40</v>
      </c>
      <c r="G75">
        <v>30</v>
      </c>
      <c r="H75">
        <v>2862.65</v>
      </c>
      <c r="I75" t="s">
        <v>195</v>
      </c>
      <c r="J75" t="s">
        <v>197</v>
      </c>
      <c r="K75">
        <v>734763.81057161314</v>
      </c>
      <c r="L75">
        <v>729304.48540893337</v>
      </c>
      <c r="M75">
        <v>7.4300408976764997E-3</v>
      </c>
      <c r="N75">
        <v>600.40864300727844</v>
      </c>
      <c r="O75">
        <v>11</v>
      </c>
      <c r="P75" t="s">
        <v>197</v>
      </c>
      <c r="Q75" t="s">
        <v>198</v>
      </c>
      <c r="R75" t="s">
        <v>198</v>
      </c>
      <c r="S75" t="s">
        <v>200</v>
      </c>
      <c r="T75" t="s">
        <v>202</v>
      </c>
      <c r="U75" t="s">
        <v>16</v>
      </c>
      <c r="V75" t="s">
        <v>204</v>
      </c>
      <c r="W75">
        <v>40</v>
      </c>
      <c r="X75">
        <v>30</v>
      </c>
      <c r="Y75" t="s">
        <v>205</v>
      </c>
      <c r="Z75" t="s">
        <v>207</v>
      </c>
      <c r="AA75" t="s">
        <v>208</v>
      </c>
    </row>
    <row r="76" spans="1:27" x14ac:dyDescent="0.2">
      <c r="A76">
        <v>60</v>
      </c>
      <c r="B76" t="s">
        <v>98</v>
      </c>
      <c r="C76" t="s">
        <v>176</v>
      </c>
      <c r="D76" t="s">
        <v>184</v>
      </c>
      <c r="E76" t="s">
        <v>192</v>
      </c>
      <c r="F76">
        <v>40</v>
      </c>
      <c r="G76">
        <v>30</v>
      </c>
      <c r="H76">
        <v>2877.0749999999998</v>
      </c>
      <c r="I76" t="s">
        <v>195</v>
      </c>
      <c r="J76" t="s">
        <v>197</v>
      </c>
      <c r="K76">
        <v>742602.60413392389</v>
      </c>
      <c r="L76">
        <v>737345.56383220211</v>
      </c>
      <c r="M76">
        <v>7.0792107009278E-3</v>
      </c>
      <c r="N76">
        <v>600.05250787734985</v>
      </c>
      <c r="O76">
        <v>11</v>
      </c>
      <c r="P76" t="s">
        <v>197</v>
      </c>
      <c r="Q76" t="s">
        <v>198</v>
      </c>
      <c r="R76" t="s">
        <v>198</v>
      </c>
      <c r="S76" t="s">
        <v>200</v>
      </c>
      <c r="T76" t="s">
        <v>202</v>
      </c>
      <c r="U76" t="s">
        <v>16</v>
      </c>
      <c r="V76" t="s">
        <v>204</v>
      </c>
      <c r="W76">
        <v>40</v>
      </c>
      <c r="X76">
        <v>30</v>
      </c>
      <c r="Y76" t="s">
        <v>205</v>
      </c>
      <c r="Z76" t="s">
        <v>207</v>
      </c>
      <c r="AA76" t="s">
        <v>208</v>
      </c>
    </row>
    <row r="77" spans="1:27" x14ac:dyDescent="0.2">
      <c r="A77">
        <v>32</v>
      </c>
      <c r="B77" t="s">
        <v>99</v>
      </c>
      <c r="C77" t="s">
        <v>177</v>
      </c>
      <c r="D77" t="s">
        <v>186</v>
      </c>
      <c r="E77" t="s">
        <v>194</v>
      </c>
      <c r="F77">
        <v>40</v>
      </c>
      <c r="G77">
        <v>30</v>
      </c>
      <c r="H77">
        <v>2943</v>
      </c>
      <c r="I77" t="s">
        <v>195</v>
      </c>
      <c r="J77" t="s">
        <v>197</v>
      </c>
      <c r="K77">
        <v>762163.93012322579</v>
      </c>
      <c r="L77">
        <v>756960.78807222575</v>
      </c>
      <c r="M77">
        <v>6.8268017487507996E-3</v>
      </c>
      <c r="N77">
        <v>600.06208205223083</v>
      </c>
      <c r="O77">
        <v>11</v>
      </c>
      <c r="P77" t="s">
        <v>197</v>
      </c>
      <c r="Q77" t="s">
        <v>198</v>
      </c>
      <c r="R77" t="s">
        <v>198</v>
      </c>
      <c r="S77" t="s">
        <v>200</v>
      </c>
      <c r="T77" t="s">
        <v>201</v>
      </c>
      <c r="U77" t="s">
        <v>16</v>
      </c>
      <c r="V77" t="s">
        <v>204</v>
      </c>
      <c r="W77">
        <v>40</v>
      </c>
      <c r="X77">
        <v>30</v>
      </c>
      <c r="Y77" t="s">
        <v>205</v>
      </c>
      <c r="Z77" t="s">
        <v>206</v>
      </c>
      <c r="AA77" t="s">
        <v>208</v>
      </c>
    </row>
    <row r="78" spans="1:27" x14ac:dyDescent="0.2">
      <c r="A78">
        <v>46</v>
      </c>
      <c r="B78" t="s">
        <v>100</v>
      </c>
      <c r="C78" t="s">
        <v>178</v>
      </c>
      <c r="D78" t="s">
        <v>185</v>
      </c>
      <c r="E78" t="s">
        <v>192</v>
      </c>
      <c r="F78">
        <v>40</v>
      </c>
      <c r="G78">
        <v>30</v>
      </c>
      <c r="H78">
        <v>2874.3249999999998</v>
      </c>
      <c r="I78" t="s">
        <v>195</v>
      </c>
      <c r="J78" t="s">
        <v>197</v>
      </c>
      <c r="K78">
        <v>736958.41331669851</v>
      </c>
      <c r="L78">
        <v>732810.17726738902</v>
      </c>
      <c r="M78">
        <v>5.6288604273343002E-3</v>
      </c>
      <c r="N78">
        <v>600.03727102279663</v>
      </c>
      <c r="O78">
        <v>11</v>
      </c>
      <c r="P78" t="s">
        <v>197</v>
      </c>
      <c r="Q78" t="s">
        <v>198</v>
      </c>
      <c r="R78" t="s">
        <v>198</v>
      </c>
      <c r="S78" t="s">
        <v>200</v>
      </c>
      <c r="T78" t="s">
        <v>202</v>
      </c>
      <c r="U78" t="s">
        <v>16</v>
      </c>
      <c r="V78" t="s">
        <v>204</v>
      </c>
      <c r="W78">
        <v>40</v>
      </c>
      <c r="X78">
        <v>30</v>
      </c>
      <c r="Y78" t="s">
        <v>205</v>
      </c>
      <c r="Z78" t="s">
        <v>207</v>
      </c>
      <c r="AA78" t="s">
        <v>208</v>
      </c>
    </row>
    <row r="79" spans="1:27" x14ac:dyDescent="0.2">
      <c r="A79">
        <v>6</v>
      </c>
      <c r="B79" t="s">
        <v>101</v>
      </c>
      <c r="C79" t="s">
        <v>179</v>
      </c>
      <c r="D79" t="s">
        <v>185</v>
      </c>
      <c r="E79" t="s">
        <v>194</v>
      </c>
      <c r="F79">
        <v>40</v>
      </c>
      <c r="G79">
        <v>30</v>
      </c>
      <c r="H79">
        <v>2947.4250000000002</v>
      </c>
      <c r="I79" t="s">
        <v>195</v>
      </c>
      <c r="J79" t="s">
        <v>197</v>
      </c>
      <c r="K79">
        <v>755460.24465129559</v>
      </c>
      <c r="L79">
        <v>751889.50614864076</v>
      </c>
      <c r="M79">
        <v>4.7265736720573E-3</v>
      </c>
      <c r="N79">
        <v>600.03876709938049</v>
      </c>
      <c r="O79">
        <v>11</v>
      </c>
      <c r="P79" t="s">
        <v>197</v>
      </c>
      <c r="Q79" t="s">
        <v>198</v>
      </c>
      <c r="R79" t="s">
        <v>198</v>
      </c>
      <c r="S79" t="s">
        <v>200</v>
      </c>
      <c r="T79" t="s">
        <v>201</v>
      </c>
      <c r="U79" t="s">
        <v>16</v>
      </c>
      <c r="V79" t="s">
        <v>204</v>
      </c>
      <c r="W79">
        <v>40</v>
      </c>
      <c r="X79">
        <v>30</v>
      </c>
      <c r="Y79" t="s">
        <v>205</v>
      </c>
      <c r="Z79" t="s">
        <v>206</v>
      </c>
      <c r="AA79" t="s">
        <v>208</v>
      </c>
    </row>
    <row r="80" spans="1:27" x14ac:dyDescent="0.2">
      <c r="A80">
        <v>16</v>
      </c>
      <c r="B80" t="s">
        <v>102</v>
      </c>
      <c r="C80" t="s">
        <v>180</v>
      </c>
      <c r="D80" t="s">
        <v>182</v>
      </c>
      <c r="E80" t="s">
        <v>194</v>
      </c>
      <c r="F80">
        <v>40</v>
      </c>
      <c r="G80">
        <v>30</v>
      </c>
      <c r="H80">
        <v>2961.875</v>
      </c>
      <c r="I80" t="s">
        <v>195</v>
      </c>
      <c r="J80" t="s">
        <v>197</v>
      </c>
      <c r="K80">
        <v>766536.45590099052</v>
      </c>
      <c r="L80">
        <v>763353.30457664269</v>
      </c>
      <c r="M80">
        <v>4.1526417952376E-3</v>
      </c>
      <c r="N80">
        <v>600.04634785652161</v>
      </c>
      <c r="O80">
        <v>11</v>
      </c>
      <c r="P80" t="s">
        <v>197</v>
      </c>
      <c r="Q80" t="s">
        <v>198</v>
      </c>
      <c r="R80" t="s">
        <v>198</v>
      </c>
      <c r="S80" t="s">
        <v>200</v>
      </c>
      <c r="T80" t="s">
        <v>201</v>
      </c>
      <c r="U80" t="s">
        <v>16</v>
      </c>
      <c r="V80" t="s">
        <v>204</v>
      </c>
      <c r="W80">
        <v>40</v>
      </c>
      <c r="X80">
        <v>30</v>
      </c>
      <c r="Y80" t="s">
        <v>205</v>
      </c>
      <c r="Z80" t="s">
        <v>206</v>
      </c>
      <c r="AA80" t="s">
        <v>208</v>
      </c>
    </row>
    <row r="81" spans="1:27" x14ac:dyDescent="0.2">
      <c r="A81">
        <v>50</v>
      </c>
      <c r="B81" t="s">
        <v>103</v>
      </c>
      <c r="C81" t="s">
        <v>181</v>
      </c>
      <c r="D81" t="s">
        <v>184</v>
      </c>
      <c r="E81" t="s">
        <v>194</v>
      </c>
      <c r="F81">
        <v>40</v>
      </c>
      <c r="G81">
        <v>30</v>
      </c>
      <c r="H81">
        <v>2957.4</v>
      </c>
      <c r="I81" t="s">
        <v>195</v>
      </c>
      <c r="J81" t="s">
        <v>197</v>
      </c>
      <c r="K81">
        <v>756396.60616065457</v>
      </c>
      <c r="L81">
        <v>753429.00586636527</v>
      </c>
      <c r="M81">
        <v>3.9233389866095997E-3</v>
      </c>
      <c r="N81">
        <v>600.037034034729</v>
      </c>
      <c r="O81">
        <v>11</v>
      </c>
      <c r="P81" t="s">
        <v>197</v>
      </c>
      <c r="Q81" t="s">
        <v>198</v>
      </c>
      <c r="R81" t="s">
        <v>198</v>
      </c>
      <c r="S81" t="s">
        <v>200</v>
      </c>
      <c r="T81" t="s">
        <v>201</v>
      </c>
      <c r="U81" t="s">
        <v>16</v>
      </c>
      <c r="V81" t="s">
        <v>204</v>
      </c>
      <c r="W81">
        <v>40</v>
      </c>
      <c r="X81">
        <v>30</v>
      </c>
      <c r="Y81" t="s">
        <v>205</v>
      </c>
      <c r="Z81" t="s">
        <v>206</v>
      </c>
      <c r="AA81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Egecan Aktan</cp:lastModifiedBy>
  <dcterms:created xsi:type="dcterms:W3CDTF">2025-09-28T19:24:28Z</dcterms:created>
  <dcterms:modified xsi:type="dcterms:W3CDTF">2025-10-12T21:25:06Z</dcterms:modified>
</cp:coreProperties>
</file>